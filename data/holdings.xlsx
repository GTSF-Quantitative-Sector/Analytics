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ixed Income" sheetId="1" r:id="rId5"/>
    <sheet state="hidden" name="Copy of Fixed Income" sheetId="2" r:id="rId6"/>
    <sheet state="hidden" name="Holdings by Weight" sheetId="3" r:id="rId7"/>
    <sheet state="visible" name="Sector Holdings" sheetId="4" r:id="rId8"/>
    <sheet state="visible" name="Spring 2026 Trades" sheetId="5" r:id="rId9"/>
    <sheet state="visible" name="Fall 2025 Trades" sheetId="6" r:id="rId10"/>
    <sheet state="visible" name="Spring 2025 Trades" sheetId="7" r:id="rId11"/>
    <sheet state="visible" name="Fall 2024 Trades" sheetId="8" r:id="rId12"/>
    <sheet state="visible" name="Spring 2024 Trades" sheetId="9" r:id="rId13"/>
    <sheet state="visible" name="Target Allocations Fall 2024" sheetId="10" r:id="rId14"/>
    <sheet state="visible" name="Fall 2023 Trades" sheetId="11" r:id="rId15"/>
    <sheet state="visible" name="Spring 2023 Trades" sheetId="12" r:id="rId16"/>
    <sheet state="visible" name="Fall 2022 Trades" sheetId="13" r:id="rId17"/>
    <sheet state="visible" name="Spring 2022 Trades" sheetId="14" r:id="rId18"/>
    <sheet state="visible" name="Fall 2021 Trades" sheetId="15" r:id="rId19"/>
    <sheet state="visible" name="Spring 2021 Trades" sheetId="16" r:id="rId20"/>
    <sheet state="visible" name="Fall 2020 Trades" sheetId="17" r:id="rId21"/>
    <sheet state="visible" name="Spring 2020 Trades" sheetId="18" r:id="rId22"/>
    <sheet state="visible" name="Fall 2019 Trades" sheetId="19" r:id="rId23"/>
    <sheet state="visible" name="Historical Analytics" sheetId="20" r:id="rId24"/>
  </sheets>
  <definedNames>
    <definedName hidden="1" localSheetId="2" name="_xlnm._FilterDatabase">'Holdings by Weight'!$A$1:$H$80</definedName>
    <definedName hidden="1" localSheetId="4" name="_xlnm._FilterDatabase">'Spring 2026 Trades'!$A$1:$I$58</definedName>
    <definedName hidden="1" localSheetId="5" name="_xlnm._FilterDatabase">'Fall 2025 Trades'!$A$1:$I$59</definedName>
    <definedName hidden="1" localSheetId="6" name="_xlnm._FilterDatabase">'Spring 2025 Trades'!$A$1:$I$59</definedName>
    <definedName hidden="1" localSheetId="7" name="_xlnm._FilterDatabase">'Fall 2024 Trades'!$A$1:$I$52</definedName>
    <definedName hidden="1" localSheetId="18" name="_xlnm._FilterDatabase">'Fall 2019 Trades'!$A$1:$H$228</definedName>
    <definedName hidden="1" localSheetId="19" name="_xlnm._FilterDatabase">'Historical Analytics'!$A$1:$H$24</definedName>
  </definedNames>
  <calcPr/>
</workbook>
</file>

<file path=xl/sharedStrings.xml><?xml version="1.0" encoding="utf-8"?>
<sst xmlns="http://schemas.openxmlformats.org/spreadsheetml/2006/main" count="4877" uniqueCount="759">
  <si>
    <t>Ticker/CUSIP</t>
  </si>
  <si>
    <t>Description</t>
  </si>
  <si>
    <t>Coupon Rate</t>
  </si>
  <si>
    <t>Current Price</t>
  </si>
  <si>
    <t>Share Count</t>
  </si>
  <si>
    <t>Value</t>
  </si>
  <si>
    <t>% of Porfolio</t>
  </si>
  <si>
    <t>Target % of Portfolio</t>
  </si>
  <si>
    <t>Purchase Price</t>
  </si>
  <si>
    <t>Purchase Date</t>
  </si>
  <si>
    <t>Coupon Value</t>
  </si>
  <si>
    <t>% Return to Date</t>
  </si>
  <si>
    <t>% Return to Date Over Benchmark ETF</t>
  </si>
  <si>
    <t>Latest Thesis</t>
  </si>
  <si>
    <t>Thesis Date</t>
  </si>
  <si>
    <t>Thesis Price Target</t>
  </si>
  <si>
    <t>% Premium Over Thesis</t>
  </si>
  <si>
    <t>Fixed Income</t>
  </si>
  <si>
    <t>629377CC4</t>
  </si>
  <si>
    <t>Hold</t>
  </si>
  <si>
    <t>38148BAD0</t>
  </si>
  <si>
    <t>Buy at 1.5%</t>
  </si>
  <si>
    <t>3133ELEN0</t>
  </si>
  <si>
    <t>449669AK6</t>
  </si>
  <si>
    <t>05530QAP5</t>
  </si>
  <si>
    <t>Buy at 2%</t>
  </si>
  <si>
    <t>BBN</t>
  </si>
  <si>
    <t>Buy at 0.95%</t>
  </si>
  <si>
    <t>912797LL9</t>
  </si>
  <si>
    <t>AGG</t>
  </si>
  <si>
    <t>Cash</t>
  </si>
  <si>
    <t>Buy at 1%</t>
  </si>
  <si>
    <t>Sector Total</t>
  </si>
  <si>
    <t>Buy at 1.25%</t>
  </si>
  <si>
    <t>Buy at 1.00%</t>
  </si>
  <si>
    <t># Of FI Holdings</t>
  </si>
  <si>
    <t>NA</t>
  </si>
  <si>
    <t>Compound Frequency</t>
  </si>
  <si>
    <t>Coupon Value Earned PTD</t>
  </si>
  <si>
    <t>Number of FI Holdings</t>
  </si>
  <si>
    <t>FFCB Corp. 2.25 12/18/29</t>
  </si>
  <si>
    <t>MOS 7.3 01/15/28 Corp</t>
  </si>
  <si>
    <t>BTI 4.448 03/16/28 Corp</t>
  </si>
  <si>
    <t>3133EJEP0</t>
  </si>
  <si>
    <t>FFCB 3.50 03/02/34</t>
  </si>
  <si>
    <t>695114BZ0</t>
  </si>
  <si>
    <t>Pacificorp 5.25 06/15/35</t>
  </si>
  <si>
    <t>517834AH0</t>
  </si>
  <si>
    <t>LVS 2.9 06/25/25</t>
  </si>
  <si>
    <t>61747YFT7</t>
  </si>
  <si>
    <t>MS 5.32 07/19/35</t>
  </si>
  <si>
    <t>822582AD4</t>
  </si>
  <si>
    <t>RDSALN 6.375 12/15/38</t>
  </si>
  <si>
    <t>626717AP7</t>
  </si>
  <si>
    <t>MUR 6 10/01/32</t>
  </si>
  <si>
    <t>446413BA3</t>
  </si>
  <si>
    <t>HII Corp 5.353 1/15/30</t>
  </si>
  <si>
    <t>29379VBM4</t>
  </si>
  <si>
    <t>EPD Corp SOFR+3.248 08/16/77</t>
  </si>
  <si>
    <t>iShares Aggregate Bond ETF</t>
  </si>
  <si>
    <t>Ticker</t>
  </si>
  <si>
    <t>Sector</t>
  </si>
  <si>
    <t>Price</t>
  </si>
  <si>
    <t>Shares</t>
  </si>
  <si>
    <t>Portfolio Weight</t>
  </si>
  <si>
    <t>Sector Weight</t>
  </si>
  <si>
    <t>Total Cash</t>
  </si>
  <si>
    <t>Weight</t>
  </si>
  <si>
    <t>SPY</t>
  </si>
  <si>
    <t>Quant</t>
  </si>
  <si>
    <t>Equities Total</t>
  </si>
  <si>
    <t>XLY</t>
  </si>
  <si>
    <t>Consumer Discretionary</t>
  </si>
  <si>
    <t>XLP</t>
  </si>
  <si>
    <t>Consumer Staples</t>
  </si>
  <si>
    <t>Total Portfolio</t>
  </si>
  <si>
    <t>XLE</t>
  </si>
  <si>
    <t>Energy</t>
  </si>
  <si>
    <t>XLF</t>
  </si>
  <si>
    <t>Financials</t>
  </si>
  <si>
    <t>XLV</t>
  </si>
  <si>
    <t>Healthcare</t>
  </si>
  <si>
    <t>XLI</t>
  </si>
  <si>
    <t>Industrials</t>
  </si>
  <si>
    <t>XLRE</t>
  </si>
  <si>
    <t>REITs</t>
  </si>
  <si>
    <t>XLK</t>
  </si>
  <si>
    <t>Technology</t>
  </si>
  <si>
    <t>XLC</t>
  </si>
  <si>
    <t>Media &amp; Telecom</t>
  </si>
  <si>
    <t>XLU</t>
  </si>
  <si>
    <t>Utilities</t>
  </si>
  <si>
    <t>AMZN</t>
  </si>
  <si>
    <t>GPC</t>
  </si>
  <si>
    <t>LVMUY</t>
  </si>
  <si>
    <t>ABNB</t>
  </si>
  <si>
    <t>IMKTA</t>
  </si>
  <si>
    <t>PM</t>
  </si>
  <si>
    <t>LNG</t>
  </si>
  <si>
    <t>FANG</t>
  </si>
  <si>
    <t>TTE</t>
  </si>
  <si>
    <t>ICE</t>
  </si>
  <si>
    <t>MS</t>
  </si>
  <si>
    <t>PFG</t>
  </si>
  <si>
    <t>NNI</t>
  </si>
  <si>
    <t>FI</t>
  </si>
  <si>
    <t>ACGL</t>
  </si>
  <si>
    <t>MDT</t>
  </si>
  <si>
    <t>VRTX</t>
  </si>
  <si>
    <t>TMO</t>
  </si>
  <si>
    <t>UNH</t>
  </si>
  <si>
    <t>MRK</t>
  </si>
  <si>
    <t>VEEV</t>
  </si>
  <si>
    <t>INMD</t>
  </si>
  <si>
    <t>APD</t>
  </si>
  <si>
    <t>URI</t>
  </si>
  <si>
    <t>DE</t>
  </si>
  <si>
    <t>SQM</t>
  </si>
  <si>
    <t>PLD</t>
  </si>
  <si>
    <t>CPT</t>
  </si>
  <si>
    <t>ADC</t>
  </si>
  <si>
    <t>AMT</t>
  </si>
  <si>
    <t>ADBE</t>
  </si>
  <si>
    <t>MSFT</t>
  </si>
  <si>
    <t>AMAT</t>
  </si>
  <si>
    <t>VRSN</t>
  </si>
  <si>
    <t>SNPS</t>
  </si>
  <si>
    <t>INTU</t>
  </si>
  <si>
    <t>CNSWF</t>
  </si>
  <si>
    <t>DIS</t>
  </si>
  <si>
    <t>GOOGL</t>
  </si>
  <si>
    <t>MTCH</t>
  </si>
  <si>
    <t>META</t>
  </si>
  <si>
    <t>NEE</t>
  </si>
  <si>
    <t>CEG</t>
  </si>
  <si>
    <t>CWEN</t>
  </si>
  <si>
    <t>PXD</t>
  </si>
  <si>
    <t>Quant (VC2)</t>
  </si>
  <si>
    <t>MPC</t>
  </si>
  <si>
    <t>VNO</t>
  </si>
  <si>
    <t>CF</t>
  </si>
  <si>
    <t>NRG</t>
  </si>
  <si>
    <t>SRE</t>
  </si>
  <si>
    <t>Quant (G-Score)</t>
  </si>
  <si>
    <t>ADM</t>
  </si>
  <si>
    <t>HST</t>
  </si>
  <si>
    <t>PFE</t>
  </si>
  <si>
    <t>NI</t>
  </si>
  <si>
    <t>LKQ</t>
  </si>
  <si>
    <t>WY</t>
  </si>
  <si>
    <t>OGN</t>
  </si>
  <si>
    <t>MRNA</t>
  </si>
  <si>
    <t>Last 1Y Performance</t>
  </si>
  <si>
    <t>% Return to Date Over S&amp;P</t>
  </si>
  <si>
    <t>Beta</t>
  </si>
  <si>
    <t/>
  </si>
  <si>
    <t>Amazon.com Inc</t>
  </si>
  <si>
    <t>LVMH Moët Hennessy Louis Vuitton</t>
  </si>
  <si>
    <t>Airbnb, Inc.</t>
  </si>
  <si>
    <t>EVVTY</t>
  </si>
  <si>
    <t>Evolution ADR</t>
  </si>
  <si>
    <t>SPDR Discretionary ETF</t>
  </si>
  <si>
    <t>Philip Morris International Inc.</t>
  </si>
  <si>
    <t>POST</t>
  </si>
  <si>
    <t>Post Holdings Inc</t>
  </si>
  <si>
    <t>SFM</t>
  </si>
  <si>
    <t>Sprouts Farmers Market Inc</t>
  </si>
  <si>
    <t>Trim to 1.25%</t>
  </si>
  <si>
    <t>SPDR Consumer Staples ETF</t>
  </si>
  <si>
    <t>Cheniere Energy</t>
  </si>
  <si>
    <t>Diamondback Energy Inc</t>
  </si>
  <si>
    <t>GEV</t>
  </si>
  <si>
    <t>GE Vernova</t>
  </si>
  <si>
    <t>SLB</t>
  </si>
  <si>
    <t>Schlumberger Ltd</t>
  </si>
  <si>
    <t>Buy at 0.7%</t>
  </si>
  <si>
    <t>SPDR Energy ETF</t>
  </si>
  <si>
    <t>FISV</t>
  </si>
  <si>
    <t>Fiserv Inc</t>
  </si>
  <si>
    <t>Raise to 1%</t>
  </si>
  <si>
    <t>Arch Capital Group Ltd</t>
  </si>
  <si>
    <t>AGM</t>
  </si>
  <si>
    <t>Farmer Mac</t>
  </si>
  <si>
    <t>SPGI</t>
  </si>
  <si>
    <t>S&amp;P Global Inc</t>
  </si>
  <si>
    <t>Buy at 1.67%</t>
  </si>
  <si>
    <t>SNEX</t>
  </si>
  <si>
    <t>Stonex Group Inc</t>
  </si>
  <si>
    <t>Buy at 1.65%</t>
  </si>
  <si>
    <t>NATL</t>
  </si>
  <si>
    <t>NCR Atleos Corp</t>
  </si>
  <si>
    <t>SPDR Financials ETF</t>
  </si>
  <si>
    <t>Thermo Fisher Scientific Inc.</t>
  </si>
  <si>
    <t>UnitedHealth Group Inc</t>
  </si>
  <si>
    <t>Raise to 3%</t>
  </si>
  <si>
    <t>Veeva Systems Inc.</t>
  </si>
  <si>
    <t>RPRX</t>
  </si>
  <si>
    <t>Royalty Pharma plc</t>
  </si>
  <si>
    <t>Buy at 1.36%</t>
  </si>
  <si>
    <t>Merck &amp; Co Inc</t>
  </si>
  <si>
    <t>SPDR Healthcare ETF</t>
  </si>
  <si>
    <t>Air Products &amp; Chemicals, Inc.</t>
  </si>
  <si>
    <t>Trim to 1.5%</t>
  </si>
  <si>
    <t>GE</t>
  </si>
  <si>
    <t>General Electric Co</t>
  </si>
  <si>
    <t>AMRZ</t>
  </si>
  <si>
    <t>Amrize</t>
  </si>
  <si>
    <t>FLS</t>
  </si>
  <si>
    <t>Flowserve</t>
  </si>
  <si>
    <t>SPDR Industrials ETF</t>
  </si>
  <si>
    <t>Prologis Inc.</t>
  </si>
  <si>
    <t>Agree Realty Corporation</t>
  </si>
  <si>
    <t>SPDR REITs ETF</t>
  </si>
  <si>
    <t>Alphabet Inc</t>
  </si>
  <si>
    <t>Microsoft</t>
  </si>
  <si>
    <t>Applied Materials, Inc.</t>
  </si>
  <si>
    <t>Synopsys Inc.</t>
  </si>
  <si>
    <t>Constellation Software</t>
  </si>
  <si>
    <t>TSM</t>
  </si>
  <si>
    <t>Taiwan Semiconductor</t>
  </si>
  <si>
    <t>Buy at 2.2%</t>
  </si>
  <si>
    <t>SPDR Technology ETF</t>
  </si>
  <si>
    <t>Meta Platforms, Inc.</t>
  </si>
  <si>
    <t>LYV</t>
  </si>
  <si>
    <t>Live Nation Entertainment Inc</t>
  </si>
  <si>
    <t>SPDR Communications Services ETF</t>
  </si>
  <si>
    <t>NextEra Energy Inc</t>
  </si>
  <si>
    <t>Constellation Energy Corp</t>
  </si>
  <si>
    <t>VST</t>
  </si>
  <si>
    <t>Vistra Corp</t>
  </si>
  <si>
    <t>SPDR Utilities ETF</t>
  </si>
  <si>
    <t>VC2 Strategy</t>
  </si>
  <si>
    <t>Buy at 0.20%</t>
  </si>
  <si>
    <t>VTRS</t>
  </si>
  <si>
    <t>T</t>
  </si>
  <si>
    <t>CVX</t>
  </si>
  <si>
    <t>VC2 Total</t>
  </si>
  <si>
    <t>Auto-DCF Strategy</t>
  </si>
  <si>
    <t>CMG</t>
  </si>
  <si>
    <t>TPL</t>
  </si>
  <si>
    <t>MPWR</t>
  </si>
  <si>
    <t>PHM</t>
  </si>
  <si>
    <t>INCY</t>
  </si>
  <si>
    <t>Auto-DCF Total</t>
  </si>
  <si>
    <t>SPDR S&amp;P 500 ETF</t>
  </si>
  <si>
    <t>37045VAF7</t>
  </si>
  <si>
    <t>GM 6.25 10/3/43</t>
  </si>
  <si>
    <t>Portfolio Total</t>
  </si>
  <si>
    <t>Trade Type</t>
  </si>
  <si>
    <t>Trade Price</t>
  </si>
  <si>
    <t>Trade Date</t>
  </si>
  <si>
    <t>% Gain on Sale</t>
  </si>
  <si>
    <t>Cash Gain/Loss</t>
  </si>
  <si>
    <t>Sell to Close</t>
  </si>
  <si>
    <t>CHTR</t>
  </si>
  <si>
    <t>WYNN</t>
  </si>
  <si>
    <t>EPAM</t>
  </si>
  <si>
    <t>MNST</t>
  </si>
  <si>
    <t>XOM</t>
  </si>
  <si>
    <t>KHC</t>
  </si>
  <si>
    <t>Buy to Add</t>
  </si>
  <si>
    <t>Sell to Trim</t>
  </si>
  <si>
    <t>REITS</t>
  </si>
  <si>
    <t>M&amp;T</t>
  </si>
  <si>
    <t>Buy to Open</t>
  </si>
  <si>
    <t>CHRD</t>
  </si>
  <si>
    <t>EHMEF</t>
  </si>
  <si>
    <t>SSF</t>
  </si>
  <si>
    <t>ALC</t>
  </si>
  <si>
    <t>GM</t>
  </si>
  <si>
    <t>QCOM</t>
  </si>
  <si>
    <t>VICI</t>
  </si>
  <si>
    <t>Bond CUSIP</t>
  </si>
  <si>
    <t>Macys</t>
  </si>
  <si>
    <t>NICE</t>
  </si>
  <si>
    <t>71654QBV3</t>
  </si>
  <si>
    <t>Pemex 4.25 01/15/25</t>
  </si>
  <si>
    <t>Matured</t>
  </si>
  <si>
    <t>N/A</t>
  </si>
  <si>
    <t>Sprouts Farmers Market Inc.</t>
  </si>
  <si>
    <t>Media and Telecomm</t>
  </si>
  <si>
    <t>APP</t>
  </si>
  <si>
    <t>Applovin Corp</t>
  </si>
  <si>
    <t>CMCSA</t>
  </si>
  <si>
    <t>Comcast Corp</t>
  </si>
  <si>
    <t>Chipotle Mexican Grill Inc</t>
  </si>
  <si>
    <t>Chevron Corp</t>
  </si>
  <si>
    <t>APH</t>
  </si>
  <si>
    <t>Amphenol Corp</t>
  </si>
  <si>
    <t>CVS</t>
  </si>
  <si>
    <t>CVS Health Corp</t>
  </si>
  <si>
    <t>IVZ</t>
  </si>
  <si>
    <t>Invesco LTD</t>
  </si>
  <si>
    <t>WFC</t>
  </si>
  <si>
    <t>Wells Fargo &amp; Co</t>
  </si>
  <si>
    <t>FOX</t>
  </si>
  <si>
    <t>FOX Corp</t>
  </si>
  <si>
    <t>MOS</t>
  </si>
  <si>
    <t>Mosaic Co</t>
  </si>
  <si>
    <t>COP</t>
  </si>
  <si>
    <t>ConocoPhillips (Acquired MRO)</t>
  </si>
  <si>
    <t>Marathon Petroleum Corp</t>
  </si>
  <si>
    <t>STLD</t>
  </si>
  <si>
    <t>Steel Dynamics Inc</t>
  </si>
  <si>
    <t>HAS</t>
  </si>
  <si>
    <t>Hasbro Inc</t>
  </si>
  <si>
    <t>MAR</t>
  </si>
  <si>
    <t>Marriott International Inc</t>
  </si>
  <si>
    <t>LW</t>
  </si>
  <si>
    <t>Nice Ltd</t>
  </si>
  <si>
    <t>Adobe Inc.</t>
  </si>
  <si>
    <t>Microsoft Corp</t>
  </si>
  <si>
    <t>PulteGroup Inc</t>
  </si>
  <si>
    <t>HSIC</t>
  </si>
  <si>
    <t>Henry Schein Inc</t>
  </si>
  <si>
    <t>Incyte Corp</t>
  </si>
  <si>
    <t>Exxon Mobile Corp</t>
  </si>
  <si>
    <t>Monster Beverage Corp</t>
  </si>
  <si>
    <t>TAP</t>
  </si>
  <si>
    <t>Molson Coors Beverage Co</t>
  </si>
  <si>
    <t>EPAM Systems Inc</t>
  </si>
  <si>
    <t>GL</t>
  </si>
  <si>
    <t>Globe Life Inc</t>
  </si>
  <si>
    <t>MO</t>
  </si>
  <si>
    <t>Altria Group Inc</t>
  </si>
  <si>
    <t>AOS</t>
  </si>
  <si>
    <t>A O Smith Corp</t>
  </si>
  <si>
    <t>Qualcomm Inc.</t>
  </si>
  <si>
    <t>EPD Corp SOFR+324.761 08/16/77</t>
  </si>
  <si>
    <t>ATKR</t>
  </si>
  <si>
    <t>Atkore Inc</t>
  </si>
  <si>
    <t>United Rentals Inc</t>
  </si>
  <si>
    <t>Marriot International</t>
  </si>
  <si>
    <t>UHS</t>
  </si>
  <si>
    <t>Universal Health Services</t>
  </si>
  <si>
    <t>WBA</t>
  </si>
  <si>
    <t>Nelnet Inc</t>
  </si>
  <si>
    <t>Media and Telecom</t>
  </si>
  <si>
    <t>GoEasy Ltd</t>
  </si>
  <si>
    <t>MS 5.32 07/19/2035</t>
  </si>
  <si>
    <t>BLCO</t>
  </si>
  <si>
    <t>Bausch and Lomb Corp</t>
  </si>
  <si>
    <t>AGCL</t>
  </si>
  <si>
    <t>Buy 7 Close 22</t>
  </si>
  <si>
    <t>EMN</t>
  </si>
  <si>
    <t>Eastman Chemical Co</t>
  </si>
  <si>
    <t>GS</t>
  </si>
  <si>
    <t>Goldman Sachs Group Inc</t>
  </si>
  <si>
    <t>HCA</t>
  </si>
  <si>
    <t>HCA Healthcare Inc</t>
  </si>
  <si>
    <t>HPQ</t>
  </si>
  <si>
    <t>HP Inc</t>
  </si>
  <si>
    <t>PARA</t>
  </si>
  <si>
    <t>Paramount Global Class B Com</t>
  </si>
  <si>
    <t>CTRA</t>
  </si>
  <si>
    <t>Coterra Energy Inc</t>
  </si>
  <si>
    <t>MRO</t>
  </si>
  <si>
    <t>Marathon Oil Corp</t>
  </si>
  <si>
    <t>ANSS</t>
  </si>
  <si>
    <t>ANSYS Inc</t>
  </si>
  <si>
    <t>ES</t>
  </si>
  <si>
    <t>Eversource Energy</t>
  </si>
  <si>
    <t>SNA</t>
  </si>
  <si>
    <t>Snap-On Inc</t>
  </si>
  <si>
    <t>Sempra Com</t>
  </si>
  <si>
    <t>LH</t>
  </si>
  <si>
    <t>Laboratory Corp Amer</t>
  </si>
  <si>
    <t>DGX</t>
  </si>
  <si>
    <t>Quest Diagnostics Inc</t>
  </si>
  <si>
    <t>Organon &amp; Co</t>
  </si>
  <si>
    <t>XRAY</t>
  </si>
  <si>
    <t>Dentsply Sirona Inc</t>
  </si>
  <si>
    <t>IP</t>
  </si>
  <si>
    <t>International Paper Co</t>
  </si>
  <si>
    <t>FOXA</t>
  </si>
  <si>
    <t>Fox Corp Class A</t>
  </si>
  <si>
    <t>TDG</t>
  </si>
  <si>
    <t>TransDigm Group Inc</t>
  </si>
  <si>
    <t>PSX</t>
  </si>
  <si>
    <t>Phillips 66</t>
  </si>
  <si>
    <t>KEYS</t>
  </si>
  <si>
    <t>Keysight Technologies Inc</t>
  </si>
  <si>
    <t>EQR</t>
  </si>
  <si>
    <t>Equity Residential</t>
  </si>
  <si>
    <t>ETR</t>
  </si>
  <si>
    <t>Entergy Corp</t>
  </si>
  <si>
    <t>DHI</t>
  </si>
  <si>
    <t>DR Horton Inc</t>
  </si>
  <si>
    <t>ATO</t>
  </si>
  <si>
    <t>Atmos Energy Corp</t>
  </si>
  <si>
    <t>SBUX</t>
  </si>
  <si>
    <t>Starbucks Corp</t>
  </si>
  <si>
    <t>TotalEnergies SE</t>
  </si>
  <si>
    <t>Merck &amp; Co., Inc.</t>
  </si>
  <si>
    <t>Intercontinental Exchange Inc</t>
  </si>
  <si>
    <t>Vici Properties Inc</t>
  </si>
  <si>
    <t>Medtronic PLC</t>
  </si>
  <si>
    <t>Vertex Pharmaceuticals Inc.</t>
  </si>
  <si>
    <t>Principal Financial Group Inc</t>
  </si>
  <si>
    <t>Match Group</t>
  </si>
  <si>
    <t>Walt Disney Co/The</t>
  </si>
  <si>
    <t>Clearway Energy Inc.</t>
  </si>
  <si>
    <t>American Tower Corporation</t>
  </si>
  <si>
    <t>BlackRock Taxable Municipal Trust</t>
  </si>
  <si>
    <t>Deere &amp; Co.</t>
  </si>
  <si>
    <t>Ingles Markets, Inc.</t>
  </si>
  <si>
    <t>VeriSign Inc.</t>
  </si>
  <si>
    <t>Chord Energy Corp</t>
  </si>
  <si>
    <t>WMT</t>
  </si>
  <si>
    <t>Sociedad Química y Minera de Chile</t>
  </si>
  <si>
    <t>InMode Ltd.</t>
  </si>
  <si>
    <t>Camden Properties Trust</t>
  </si>
  <si>
    <t>Walmart Inc</t>
  </si>
  <si>
    <t>General Motors Co</t>
  </si>
  <si>
    <t>Genuine Parts Company</t>
  </si>
  <si>
    <t>Intuit Inc.</t>
  </si>
  <si>
    <t>Current Weight of the Portfolio</t>
  </si>
  <si>
    <t>Target Weight of the Portfolio</t>
  </si>
  <si>
    <t>% Overweight / (Underweight)</t>
  </si>
  <si>
    <t>$ Overweight / (Underweight)</t>
  </si>
  <si>
    <t>Total</t>
  </si>
  <si>
    <t>Morgan Stanley</t>
  </si>
  <si>
    <t>IRM</t>
  </si>
  <si>
    <t>Iron Mountain, Inc.</t>
  </si>
  <si>
    <t>WBD</t>
  </si>
  <si>
    <t>Warner Bros. Discovery, Inc.</t>
  </si>
  <si>
    <t>AWK</t>
  </si>
  <si>
    <t>American Water Works Company, Inc.</t>
  </si>
  <si>
    <t>BKI</t>
  </si>
  <si>
    <t>Black Knight Inc.</t>
  </si>
  <si>
    <t>LEN</t>
  </si>
  <si>
    <t>Lennar Corp</t>
  </si>
  <si>
    <t>HPE</t>
  </si>
  <si>
    <t>Hewlett Packard Enterprise</t>
  </si>
  <si>
    <t>BG</t>
  </si>
  <si>
    <t>Bunge Ltd</t>
  </si>
  <si>
    <t>LYB</t>
  </si>
  <si>
    <t>Lyondell Basell Industries</t>
  </si>
  <si>
    <t>BWA</t>
  </si>
  <si>
    <t>Borg Warner Inc</t>
  </si>
  <si>
    <t>FLT</t>
  </si>
  <si>
    <t>Fleetcor Technologies Inc</t>
  </si>
  <si>
    <t>Host Hotels &amp; Resorts Inc</t>
  </si>
  <si>
    <t>LKQ Corp</t>
  </si>
  <si>
    <t>REG</t>
  </si>
  <si>
    <t>Regency Centers Corp</t>
  </si>
  <si>
    <t>Weyerhaeuser Co</t>
  </si>
  <si>
    <t>ZBRA</t>
  </si>
  <si>
    <t>Zebra Technologies Co</t>
  </si>
  <si>
    <t>Sempra</t>
  </si>
  <si>
    <t>Archer-Daniels-Midland Co</t>
  </si>
  <si>
    <t>Pfizer Inc</t>
  </si>
  <si>
    <t>NiSource Inc</t>
  </si>
  <si>
    <t>Philip Morris International Inc</t>
  </si>
  <si>
    <t>Moderna Inc</t>
  </si>
  <si>
    <t>Pioneer Natural Resources Co</t>
  </si>
  <si>
    <t>Vornado Realty Trust</t>
  </si>
  <si>
    <t>CF Industries Holdings Inc</t>
  </si>
  <si>
    <t>NRG Energy Inc</t>
  </si>
  <si>
    <t>RTX</t>
  </si>
  <si>
    <t>Raytheon Technologies Co</t>
  </si>
  <si>
    <t>US TREAS BILLS ZERO CPN 0.00% 03/21/2024</t>
  </si>
  <si>
    <t>HD</t>
  </si>
  <si>
    <t>Home Depot Inc/The</t>
  </si>
  <si>
    <t>VMD</t>
  </si>
  <si>
    <t>Viemed Healthcare Inc</t>
  </si>
  <si>
    <t>Iron Mountain Inc.</t>
  </si>
  <si>
    <t>CI</t>
  </si>
  <si>
    <t>Cigna Group</t>
  </si>
  <si>
    <t>WRK</t>
  </si>
  <si>
    <t>Westrock Co</t>
  </si>
  <si>
    <t>DXC</t>
  </si>
  <si>
    <t>DXC Technology Co</t>
  </si>
  <si>
    <t>VFC</t>
  </si>
  <si>
    <t>VF Corp</t>
  </si>
  <si>
    <t>TRMB</t>
  </si>
  <si>
    <t>Trimble Inc</t>
  </si>
  <si>
    <t>BorgWarner Inc</t>
  </si>
  <si>
    <t>3133EKMF0</t>
  </si>
  <si>
    <t>FFCB 3.50 03/02/2034</t>
  </si>
  <si>
    <t>Pacificorp 5/25 06/15/2035</t>
  </si>
  <si>
    <t>HZNP</t>
  </si>
  <si>
    <t>Horizon Therapeutics</t>
  </si>
  <si>
    <t>CAH</t>
  </si>
  <si>
    <t>Cardinal Health Inc</t>
  </si>
  <si>
    <t>HIG</t>
  </si>
  <si>
    <t>Hartford Financial Services</t>
  </si>
  <si>
    <t>Hewlett Packard</t>
  </si>
  <si>
    <t>Viatris Inc</t>
  </si>
  <si>
    <t>Lennar</t>
  </si>
  <si>
    <t>DAL</t>
  </si>
  <si>
    <t>Delta Air Lines Inc</t>
  </si>
  <si>
    <t>DOW</t>
  </si>
  <si>
    <t>Dow Inc</t>
  </si>
  <si>
    <t>FDX</t>
  </si>
  <si>
    <t>Fedex Corp</t>
  </si>
  <si>
    <t>MHK</t>
  </si>
  <si>
    <t>Mohawk Industries</t>
  </si>
  <si>
    <t>DBX</t>
  </si>
  <si>
    <t>Dropbox Inc.</t>
  </si>
  <si>
    <t>Laboratory Corporation of America Holdings</t>
  </si>
  <si>
    <t>MODV</t>
  </si>
  <si>
    <t>Modivcare Inc</t>
  </si>
  <si>
    <t>DEO</t>
  </si>
  <si>
    <t>Diageo</t>
  </si>
  <si>
    <t>MPW</t>
  </si>
  <si>
    <t>Medical Properties Trust</t>
  </si>
  <si>
    <t>912796Y37</t>
  </si>
  <si>
    <t>Amazon.com INc.</t>
  </si>
  <si>
    <t>PYPL</t>
  </si>
  <si>
    <t>PayPal Holdings Inc</t>
  </si>
  <si>
    <t>Warner Bros Discovery Inc.</t>
  </si>
  <si>
    <t>SHYD</t>
  </si>
  <si>
    <t>VanEck Short High Yield Muni ETF</t>
  </si>
  <si>
    <t>50077LAD8</t>
  </si>
  <si>
    <t>KHC 3.0 06/01/2026</t>
  </si>
  <si>
    <t>General Motors</t>
  </si>
  <si>
    <t>ICLN</t>
  </si>
  <si>
    <t>iShares Clean Energy ETF</t>
  </si>
  <si>
    <t>USB</t>
  </si>
  <si>
    <t>US Bancorp</t>
  </si>
  <si>
    <t>SPDR Real Estate ETF</t>
  </si>
  <si>
    <t>Marathon Petroleum</t>
  </si>
  <si>
    <t>Sociedad Química y Minera de Chile S.A.</t>
  </si>
  <si>
    <t>Macro</t>
  </si>
  <si>
    <t>BERY</t>
  </si>
  <si>
    <t>Berry Global Group Inc.</t>
  </si>
  <si>
    <t>NTDOY</t>
  </si>
  <si>
    <t>Nintendo Corp.</t>
  </si>
  <si>
    <t>Marathon Oil Corporation</t>
  </si>
  <si>
    <t>NRG Inc.</t>
  </si>
  <si>
    <t>MET</t>
  </si>
  <si>
    <t>Metlife Inc.</t>
  </si>
  <si>
    <t>BEP</t>
  </si>
  <si>
    <t>Brookfield Energy Partners</t>
  </si>
  <si>
    <t>TCNNF</t>
  </si>
  <si>
    <t>Trulieve Cannabis Corp.</t>
  </si>
  <si>
    <t>PCYO</t>
  </si>
  <si>
    <t>Pure Cycle Corp.</t>
  </si>
  <si>
    <t>693070AD6</t>
  </si>
  <si>
    <t>CCL 7.87 06/01/2027</t>
  </si>
  <si>
    <t>NRG Energy Inc.</t>
  </si>
  <si>
    <t>SYF</t>
  </si>
  <si>
    <t>Philip Morris International Corp.</t>
  </si>
  <si>
    <t>PEG</t>
  </si>
  <si>
    <t>BSJR</t>
  </si>
  <si>
    <t>Invesco BulletShares 2027</t>
  </si>
  <si>
    <t>SPDR Consumer Discretionary ETF</t>
  </si>
  <si>
    <t xml:space="preserve">Hartford Financial Services </t>
  </si>
  <si>
    <t>DXC Technology Company</t>
  </si>
  <si>
    <t>Synchrony Financial</t>
  </si>
  <si>
    <t>AIG</t>
  </si>
  <si>
    <t>APA</t>
  </si>
  <si>
    <t>NOMD</t>
  </si>
  <si>
    <t>Nomad Foods</t>
  </si>
  <si>
    <t>MSM</t>
  </si>
  <si>
    <t>MSC Industrial Direct Co. Inc.</t>
  </si>
  <si>
    <t>Marathon</t>
  </si>
  <si>
    <t>Hartford</t>
  </si>
  <si>
    <t>Cardinal Health</t>
  </si>
  <si>
    <t>APA Corp</t>
  </si>
  <si>
    <t>American International Group</t>
  </si>
  <si>
    <t>Trades - December 2nd</t>
  </si>
  <si>
    <t>Execution Price</t>
  </si>
  <si>
    <t>Cost/Proceeds</t>
  </si>
  <si>
    <t>Loss/Gain</t>
  </si>
  <si>
    <t>Cheniere Energy Inc</t>
  </si>
  <si>
    <t>Brookfield Renewable Partners</t>
  </si>
  <si>
    <t>REGI</t>
  </si>
  <si>
    <t>Renewable Energy Group</t>
  </si>
  <si>
    <t>Medical Properties Trust Inc</t>
  </si>
  <si>
    <t>DRE</t>
  </si>
  <si>
    <t>Duke Realty Corp</t>
  </si>
  <si>
    <t>DEA</t>
  </si>
  <si>
    <t>Easterly Government Properties Inc</t>
  </si>
  <si>
    <t>Media Telecom</t>
  </si>
  <si>
    <t>Public Service Enterprise Group</t>
  </si>
  <si>
    <t>AQN</t>
  </si>
  <si>
    <t>Algonquin Power &amp; Utilities Corp</t>
  </si>
  <si>
    <t>Pure Cycle Corp</t>
  </si>
  <si>
    <t>NLY</t>
  </si>
  <si>
    <t>Annaly Capital Management Inc</t>
  </si>
  <si>
    <t>KR</t>
  </si>
  <si>
    <t>Kroger Co</t>
  </si>
  <si>
    <t>ADP</t>
  </si>
  <si>
    <t>Molson Coors Beverage Co.</t>
  </si>
  <si>
    <t>TRV</t>
  </si>
  <si>
    <t>Travelers Companies, Inc.</t>
  </si>
  <si>
    <t>Organon &amp; Co.</t>
  </si>
  <si>
    <t>NUE</t>
  </si>
  <si>
    <t>Nucor Corporation</t>
  </si>
  <si>
    <t>57636QAJ3</t>
  </si>
  <si>
    <t>MA 3.5 02/26/28</t>
  </si>
  <si>
    <t>FB</t>
  </si>
  <si>
    <t>ALL</t>
  </si>
  <si>
    <t>The Allstate Corporation</t>
  </si>
  <si>
    <t>APA Corporation</t>
  </si>
  <si>
    <t>Cigna Corporation</t>
  </si>
  <si>
    <t>VZIO</t>
  </si>
  <si>
    <t>Vizio Corp</t>
  </si>
  <si>
    <t>PAYX</t>
  </si>
  <si>
    <t>Paychex Inc</t>
  </si>
  <si>
    <t>QTS</t>
  </si>
  <si>
    <t>QTS Realty Trust</t>
  </si>
  <si>
    <t>Merger Payout</t>
  </si>
  <si>
    <t>FTNT</t>
  </si>
  <si>
    <t>Fortinet Inc</t>
  </si>
  <si>
    <t>RDS.B</t>
  </si>
  <si>
    <t>Royal Dutch Shell Plc</t>
  </si>
  <si>
    <t>IFF</t>
  </si>
  <si>
    <t>International Flavors &amp; Fragrances</t>
  </si>
  <si>
    <t>ESNT</t>
  </si>
  <si>
    <t>Essent Group Ltd</t>
  </si>
  <si>
    <t>Home Depot</t>
  </si>
  <si>
    <t>SPDR Consumer Disc. ETF</t>
  </si>
  <si>
    <t>Berry Global Group</t>
  </si>
  <si>
    <t>KMB</t>
  </si>
  <si>
    <t>Kimberly-Clark Group</t>
  </si>
  <si>
    <t>Laboratory Corp. of America Holdings</t>
  </si>
  <si>
    <t>KHC Bond</t>
  </si>
  <si>
    <t>Kraft Heinz Co.</t>
  </si>
  <si>
    <t xml:space="preserve">Utilities </t>
  </si>
  <si>
    <t>SPDR Health Care ETF</t>
  </si>
  <si>
    <t>CCL Bond</t>
  </si>
  <si>
    <t>Carnival Cruise Lines</t>
  </si>
  <si>
    <t xml:space="preserve">AGG </t>
  </si>
  <si>
    <t>ishares Core US Aggregate Bond ETF</t>
  </si>
  <si>
    <t>HUBB</t>
  </si>
  <si>
    <t>Hubbell Inc.</t>
  </si>
  <si>
    <t>Fiserv Inc.</t>
  </si>
  <si>
    <t>SPDR Communication ETF</t>
  </si>
  <si>
    <t>Vizio Corp.</t>
  </si>
  <si>
    <t>Nintendo</t>
  </si>
  <si>
    <t xml:space="preserve">Paypal </t>
  </si>
  <si>
    <t>Trulieve Cannabis Corp</t>
  </si>
  <si>
    <t>VZ</t>
  </si>
  <si>
    <t>Verizon Communications Inc</t>
  </si>
  <si>
    <t>SPDR Staples ETF</t>
  </si>
  <si>
    <t>Nomad Foods Limited</t>
  </si>
  <si>
    <t>MMP</t>
  </si>
  <si>
    <t>Magellan Midstream Partners LP</t>
  </si>
  <si>
    <t>MSC Industrial Direct Co</t>
  </si>
  <si>
    <t>AES</t>
  </si>
  <si>
    <t>The AES Corporation</t>
  </si>
  <si>
    <t>IAC</t>
  </si>
  <si>
    <t>InterActiveCorp</t>
  </si>
  <si>
    <t>ETSY</t>
  </si>
  <si>
    <t>Etsy Inc</t>
  </si>
  <si>
    <t>Discretionary</t>
  </si>
  <si>
    <t>American Tower Corp</t>
  </si>
  <si>
    <t>VanEck Vectors Short HY Muni ETF</t>
  </si>
  <si>
    <t xml:space="preserve"> </t>
  </si>
  <si>
    <t>Disney</t>
  </si>
  <si>
    <t>Media/Telecom</t>
  </si>
  <si>
    <t>MA</t>
  </si>
  <si>
    <t>Mastercard</t>
  </si>
  <si>
    <t>ALXN</t>
  </si>
  <si>
    <t>Alexion</t>
  </si>
  <si>
    <t>NSIT</t>
  </si>
  <si>
    <t>Insight</t>
  </si>
  <si>
    <t>KO</t>
  </si>
  <si>
    <t>Coke</t>
  </si>
  <si>
    <t>SPDR Energy TR ETF</t>
  </si>
  <si>
    <t>IEFA</t>
  </si>
  <si>
    <t>iShares Core MSCI EAFE ETF</t>
  </si>
  <si>
    <t>871503AH1</t>
  </si>
  <si>
    <t>SYMC 4.2 9/15/20</t>
  </si>
  <si>
    <t>ICLR</t>
  </si>
  <si>
    <t>ICON PLC</t>
  </si>
  <si>
    <t>Exxon Mobil Corp</t>
  </si>
  <si>
    <t>AJRD</t>
  </si>
  <si>
    <t xml:space="preserve">Aerojet Rocketdyne Holdings </t>
  </si>
  <si>
    <t>Dropbox Inc</t>
  </si>
  <si>
    <t>910047AH2</t>
  </si>
  <si>
    <t>UAL 5 02/01/24</t>
  </si>
  <si>
    <t>GOOG</t>
  </si>
  <si>
    <t>BEPC</t>
  </si>
  <si>
    <t>Brookfield Renewable Coporation</t>
  </si>
  <si>
    <t>BAB</t>
  </si>
  <si>
    <t>Invesco Taxable Municipal Bond</t>
  </si>
  <si>
    <t>TJX</t>
  </si>
  <si>
    <t>TJX Cos Inc/The</t>
  </si>
  <si>
    <t>57636QAJ31</t>
  </si>
  <si>
    <t>PBSMX</t>
  </si>
  <si>
    <t>PGIM Short-Term Corporate Bond</t>
  </si>
  <si>
    <t>FFCB 2.25 12-18-29</t>
  </si>
  <si>
    <t>VNOM</t>
  </si>
  <si>
    <t>Viper Energy Partners LP</t>
  </si>
  <si>
    <t>Sell to close</t>
  </si>
  <si>
    <t>PSCC</t>
  </si>
  <si>
    <t>Invesco S&amp;P Small Cap Staples</t>
  </si>
  <si>
    <t>Buy at 0.37%</t>
  </si>
  <si>
    <t>Insight Enterprises Inc</t>
  </si>
  <si>
    <t>Coca Cola Co</t>
  </si>
  <si>
    <t>Sempra Energy</t>
  </si>
  <si>
    <t>Blackrock Taxable Mortgage Trust</t>
  </si>
  <si>
    <t>Trim by $10,000</t>
  </si>
  <si>
    <t>LITE</t>
  </si>
  <si>
    <t>Lumentum Holdings Inc</t>
  </si>
  <si>
    <t>WM</t>
  </si>
  <si>
    <t>Waste Management Inc</t>
  </si>
  <si>
    <t>PBF</t>
  </si>
  <si>
    <t>PBF Energy Inc</t>
  </si>
  <si>
    <t>Buy at $6000</t>
  </si>
  <si>
    <t>DANOY</t>
  </si>
  <si>
    <t>Danone SA</t>
  </si>
  <si>
    <t>Kimberly Clark Corp</t>
  </si>
  <si>
    <t>ADUS</t>
  </si>
  <si>
    <t>Addus Homecare Corp</t>
  </si>
  <si>
    <t>RDSB</t>
  </si>
  <si>
    <t>D</t>
  </si>
  <si>
    <t>Dominion Energy Inc</t>
  </si>
  <si>
    <t>KREF</t>
  </si>
  <si>
    <t>KKR Real Estate Finance Trust</t>
  </si>
  <si>
    <t>FLBR</t>
  </si>
  <si>
    <t>Franklin Templeton FTSE Brazil ETF</t>
  </si>
  <si>
    <t>BABA</t>
  </si>
  <si>
    <t>Alibaba Group Holding Ltd</t>
  </si>
  <si>
    <t>26441CAD7</t>
  </si>
  <si>
    <t>DUK 5.05% 9-15-19</t>
  </si>
  <si>
    <t>Came Due</t>
  </si>
  <si>
    <t>ABB</t>
  </si>
  <si>
    <t>ABB Group</t>
  </si>
  <si>
    <t>151020AR5</t>
  </si>
  <si>
    <t>CELG 3.55% 8-15-22</t>
  </si>
  <si>
    <t>International Flavors and Fragrances</t>
  </si>
  <si>
    <t>Staples</t>
  </si>
  <si>
    <t>Add to 2%</t>
  </si>
  <si>
    <t>Aeorjet Rocketdyne Holdings</t>
  </si>
  <si>
    <t>Spun Off of IAC</t>
  </si>
  <si>
    <t>VWO</t>
  </si>
  <si>
    <t>Vanguard Intl. Equity Index Fund</t>
  </si>
  <si>
    <t>SYMC 4.2% 9-15-20</t>
  </si>
  <si>
    <t>Marathon Pertroleum Corp</t>
  </si>
  <si>
    <t>Fortinet Inc.</t>
  </si>
  <si>
    <t>ATVI</t>
  </si>
  <si>
    <t>Activision Blizzard Inc.</t>
  </si>
  <si>
    <t>CVS Health Corp.</t>
  </si>
  <si>
    <t>Paychex Inc.</t>
  </si>
  <si>
    <t>Sell to 2%</t>
  </si>
  <si>
    <t>SNE</t>
  </si>
  <si>
    <t>Sony Corp.</t>
  </si>
  <si>
    <t>KEY</t>
  </si>
  <si>
    <t>KeyCorp</t>
  </si>
  <si>
    <t>Buy at 2.5%</t>
  </si>
  <si>
    <t>GS 5 Perpetual</t>
  </si>
  <si>
    <t>GLW</t>
  </si>
  <si>
    <t>Corning Inc.</t>
  </si>
  <si>
    <t>Sell to trim</t>
  </si>
  <si>
    <t>NextEra Energy Inc.</t>
  </si>
  <si>
    <t>Dominion Energy Inc.</t>
  </si>
  <si>
    <t>Buy to 1%</t>
  </si>
  <si>
    <t>Date</t>
  </si>
  <si>
    <t>YTD Return</t>
  </si>
  <si>
    <t>Std. Dev.</t>
  </si>
  <si>
    <t>Sharpe</t>
  </si>
  <si>
    <t>PE Ratio</t>
  </si>
  <si>
    <t>PB Ratio</t>
  </si>
  <si>
    <t>Div. Yield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</si>
</sst>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#,##0.00;\(#,##0.00\)"/>
    <numFmt numFmtId="165" formatCode="#\x"/>
    <numFmt numFmtId="166" formatCode="m/d/yyyy"/>
    <numFmt numFmtId="167" formatCode="mm/dd/yyyy"/>
    <numFmt numFmtId="168" formatCode="&quot;$&quot;#,##0.00"/>
    <numFmt numFmtId="169" formatCode="#,##0.00;(#,##0.00)"/>
    <numFmt numFmtId="170" formatCode="#x"/>
    <numFmt numFmtId="171" formatCode="M/d/yyyy"/>
    <numFmt numFmtId="172" formatCode="m/d/yy"/>
    <numFmt numFmtId="173" formatCode="&quot;$&quot;#,##0"/>
    <numFmt numFmtId="174" formatCode="m\-d\-yy"/>
    <numFmt numFmtId="175" formatCode="m\-d\-yyyy"/>
  </numFmts>
  <fonts count="15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9.0"/>
      <color rgb="FF1155CC"/>
      <name val="Arial"/>
    </font>
    <font>
      <sz val="9.0"/>
      <color rgb="FF000000"/>
      <name val="Arial"/>
    </font>
    <font>
      <sz val="10.0"/>
      <color rgb="FF0000FF"/>
      <name val="Arial"/>
    </font>
    <font>
      <color theme="1"/>
      <name val="Arial"/>
      <scheme val="minor"/>
    </font>
    <font>
      <u/>
      <sz val="10.0"/>
      <color rgb="FF0000FF"/>
      <name val="Arial"/>
    </font>
    <font/>
    <font>
      <color theme="1"/>
      <name val="Arial"/>
    </font>
    <font>
      <b/>
      <sz val="10.0"/>
      <color theme="0"/>
      <name val="Arial"/>
    </font>
    <font>
      <sz val="10.0"/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theme="4"/>
        <bgColor theme="4"/>
      </patternFill>
    </fill>
  </fills>
  <borders count="13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0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65" xfId="0" applyAlignment="1" applyBorder="1" applyFont="1" applyNumberFormat="1">
      <alignment horizontal="center" shrinkToFit="0" vertical="center" wrapText="1"/>
    </xf>
    <xf borderId="1" fillId="2" fontId="1" numFmtId="166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shrinkToFit="0" wrapText="1"/>
    </xf>
    <xf borderId="0" fillId="0" fontId="2" numFmtId="0" xfId="0" applyFont="1"/>
    <xf borderId="0" fillId="0" fontId="2" numFmtId="10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3" numFmtId="164" xfId="0" applyFont="1" applyNumberFormat="1"/>
    <xf borderId="0" fillId="0" fontId="2" numFmtId="166" xfId="0" applyFont="1" applyNumberFormat="1"/>
    <xf borderId="0" fillId="0" fontId="4" numFmtId="10" xfId="0" applyFont="1" applyNumberFormat="1"/>
    <xf borderId="0" fillId="0" fontId="2" numFmtId="166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  <xf borderId="0" fillId="0" fontId="2" numFmtId="10" xfId="0" applyAlignment="1" applyFont="1" applyNumberFormat="1">
      <alignment horizontal="right"/>
    </xf>
    <xf borderId="1" fillId="3" fontId="3" numFmtId="0" xfId="0" applyAlignment="1" applyBorder="1" applyFont="1">
      <alignment shrinkToFit="0" wrapText="1"/>
    </xf>
    <xf borderId="0" fillId="0" fontId="5" numFmtId="0" xfId="0" applyFont="1"/>
    <xf borderId="0" fillId="0" fontId="3" numFmtId="10" xfId="0" applyFont="1" applyNumberFormat="1"/>
    <xf borderId="1" fillId="4" fontId="5" numFmtId="164" xfId="0" applyBorder="1" applyFill="1" applyFont="1" applyNumberFormat="1"/>
    <xf borderId="0" fillId="0" fontId="5" numFmtId="165" xfId="0" applyFont="1" applyNumberFormat="1"/>
    <xf borderId="0" fillId="0" fontId="5" numFmtId="10" xfId="0" applyFont="1" applyNumberFormat="1"/>
    <xf borderId="0" fillId="0" fontId="3" numFmtId="0" xfId="0" applyFont="1"/>
    <xf borderId="0" fillId="0" fontId="5" numFmtId="164" xfId="0" applyFont="1" applyNumberFormat="1"/>
    <xf borderId="0" fillId="0" fontId="5" numFmtId="166" xfId="0" applyFont="1" applyNumberFormat="1"/>
    <xf borderId="0" fillId="0" fontId="5" numFmtId="4" xfId="0" applyFont="1" applyNumberFormat="1"/>
    <xf borderId="1" fillId="4" fontId="5" numFmtId="0" xfId="0" applyBorder="1" applyFont="1"/>
    <xf borderId="0" fillId="0" fontId="3" numFmtId="166" xfId="0" applyAlignment="1" applyFont="1" applyNumberFormat="1">
      <alignment horizontal="right"/>
    </xf>
    <xf borderId="0" fillId="0" fontId="3" numFmtId="164" xfId="0" applyAlignment="1" applyFont="1" applyNumberFormat="1">
      <alignment horizontal="right"/>
    </xf>
    <xf borderId="0" fillId="0" fontId="3" numFmtId="10" xfId="0" applyAlignment="1" applyFont="1" applyNumberFormat="1">
      <alignment horizontal="right"/>
    </xf>
    <xf borderId="0" fillId="0" fontId="5" numFmtId="166" xfId="0" applyAlignment="1" applyFont="1" applyNumberFormat="1">
      <alignment horizontal="right"/>
    </xf>
    <xf borderId="0" fillId="0" fontId="5" numFmtId="164" xfId="0" applyAlignment="1" applyFont="1" applyNumberFormat="1">
      <alignment horizontal="right"/>
    </xf>
    <xf borderId="1" fillId="3" fontId="3" numFmtId="0" xfId="0" applyBorder="1" applyFont="1"/>
    <xf borderId="0" fillId="0" fontId="5" numFmtId="4" xfId="0" applyAlignment="1" applyFont="1" applyNumberFormat="1">
      <alignment horizontal="right"/>
    </xf>
    <xf borderId="1" fillId="5" fontId="5" numFmtId="4" xfId="0" applyAlignment="1" applyBorder="1" applyFill="1" applyFont="1" applyNumberFormat="1">
      <alignment horizontal="right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0" fillId="0" fontId="3" numFmtId="10" xfId="0" applyAlignment="1" applyFont="1" applyNumberFormat="1">
      <alignment horizontal="left"/>
    </xf>
    <xf borderId="0" fillId="0" fontId="3" numFmtId="0" xfId="0" applyAlignment="1" applyFont="1">
      <alignment horizontal="right"/>
    </xf>
    <xf borderId="1" fillId="6" fontId="2" numFmtId="0" xfId="0" applyBorder="1" applyFill="1" applyFont="1"/>
    <xf borderId="1" fillId="6" fontId="2" numFmtId="10" xfId="0" applyBorder="1" applyFont="1" applyNumberFormat="1"/>
    <xf borderId="1" fillId="6" fontId="2" numFmtId="164" xfId="0" applyBorder="1" applyFont="1" applyNumberFormat="1"/>
    <xf borderId="1" fillId="6" fontId="2" numFmtId="165" xfId="0" applyBorder="1" applyFont="1" applyNumberFormat="1"/>
    <xf borderId="1" fillId="6" fontId="2" numFmtId="166" xfId="0" applyBorder="1" applyFont="1" applyNumberFormat="1"/>
    <xf borderId="1" fillId="6" fontId="4" numFmtId="10" xfId="0" applyBorder="1" applyFont="1" applyNumberFormat="1"/>
    <xf borderId="1" fillId="6" fontId="2" numFmtId="166" xfId="0" applyAlignment="1" applyBorder="1" applyFont="1" applyNumberFormat="1">
      <alignment horizontal="right"/>
    </xf>
    <xf borderId="1" fillId="6" fontId="2" numFmtId="164" xfId="0" applyAlignment="1" applyBorder="1" applyFont="1" applyNumberFormat="1">
      <alignment horizontal="right"/>
    </xf>
    <xf borderId="1" fillId="6" fontId="2" numFmtId="10" xfId="0" applyAlignment="1" applyBorder="1" applyFont="1" applyNumberFormat="1">
      <alignment horizontal="right"/>
    </xf>
    <xf borderId="0" fillId="0" fontId="3" numFmtId="165" xfId="0" applyFont="1" applyNumberFormat="1"/>
    <xf borderId="0" fillId="0" fontId="3" numFmtId="166" xfId="0" applyFont="1" applyNumberFormat="1"/>
    <xf borderId="0" fillId="0" fontId="3" numFmtId="167" xfId="0" applyFont="1" applyNumberFormat="1"/>
    <xf borderId="1" fillId="4" fontId="6" numFmtId="0" xfId="0" applyBorder="1" applyFont="1"/>
    <xf borderId="1" fillId="4" fontId="7" numFmtId="0" xfId="0" applyBorder="1" applyFont="1"/>
    <xf borderId="0" fillId="0" fontId="1" numFmtId="0" xfId="0" applyAlignment="1" applyFont="1">
      <alignment horizontal="center" shrinkToFit="0" vertical="center" wrapText="1"/>
    </xf>
    <xf borderId="1" fillId="7" fontId="2" numFmtId="0" xfId="0" applyBorder="1" applyFill="1" applyFont="1"/>
    <xf borderId="1" fillId="7" fontId="8" numFmtId="0" xfId="0" applyBorder="1" applyFont="1"/>
    <xf borderId="1" fillId="3" fontId="5" numFmtId="0" xfId="0" applyBorder="1" applyFont="1"/>
    <xf borderId="0" fillId="0" fontId="8" numFmtId="10" xfId="0" applyFont="1" applyNumberFormat="1"/>
    <xf borderId="1" fillId="7" fontId="5" numFmtId="4" xfId="0" applyBorder="1" applyFont="1" applyNumberFormat="1"/>
    <xf borderId="0" fillId="0" fontId="9" numFmtId="0" xfId="0" applyFont="1"/>
    <xf borderId="1" fillId="7" fontId="5" numFmtId="4" xfId="0" applyAlignment="1" applyBorder="1" applyFont="1" applyNumberFormat="1">
      <alignment horizontal="right"/>
    </xf>
    <xf borderId="0" fillId="0" fontId="3" numFmtId="166" xfId="0" applyAlignment="1" applyFont="1" applyNumberFormat="1">
      <alignment horizontal="left"/>
    </xf>
    <xf borderId="1" fillId="4" fontId="2" numFmtId="10" xfId="0" applyAlignment="1" applyBorder="1" applyFont="1" applyNumberFormat="1">
      <alignment horizontal="right"/>
    </xf>
    <xf borderId="0" fillId="0" fontId="2" numFmtId="0" xfId="0" applyAlignment="1" applyFont="1">
      <alignment shrinkToFit="0" wrapText="1"/>
    </xf>
    <xf borderId="1" fillId="8" fontId="3" numFmtId="0" xfId="0" applyBorder="1" applyFill="1" applyFont="1"/>
    <xf borderId="1" fillId="8" fontId="3" numFmtId="164" xfId="0" applyBorder="1" applyFont="1" applyNumberFormat="1"/>
    <xf borderId="1" fillId="8" fontId="3" numFmtId="10" xfId="0" applyBorder="1" applyFont="1" applyNumberFormat="1"/>
    <xf borderId="1" fillId="8" fontId="3" numFmtId="0" xfId="0" applyAlignment="1" applyBorder="1" applyFont="1">
      <alignment horizontal="right"/>
    </xf>
    <xf borderId="1" fillId="8" fontId="3" numFmtId="165" xfId="0" applyBorder="1" applyFont="1" applyNumberFormat="1"/>
    <xf borderId="1" fillId="8" fontId="3" numFmtId="10" xfId="0" applyAlignment="1" applyBorder="1" applyFont="1" applyNumberFormat="1">
      <alignment horizontal="right"/>
    </xf>
    <xf borderId="0" fillId="0" fontId="3" numFmtId="168" xfId="0" applyFont="1" applyNumberFormat="1"/>
    <xf borderId="1" fillId="8" fontId="10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2" xfId="0" applyAlignment="1" applyBorder="1" applyFont="1" applyNumberFormat="1">
      <alignment horizontal="center" shrinkToFit="0" vertical="center" wrapText="1"/>
    </xf>
    <xf quotePrefix="1" borderId="0" fillId="0" fontId="2" numFmtId="0" xfId="0" applyFont="1"/>
    <xf borderId="0" fillId="0" fontId="2" numFmtId="2" xfId="0" applyAlignment="1" applyFont="1" applyNumberFormat="1">
      <alignment horizontal="right"/>
    </xf>
    <xf borderId="0" fillId="0" fontId="3" numFmtId="165" xfId="0" applyAlignment="1" applyFont="1" applyNumberFormat="1">
      <alignment readingOrder="0"/>
    </xf>
    <xf borderId="0" fillId="0" fontId="3" numFmtId="2" xfId="0" applyAlignment="1" applyFont="1" applyNumberFormat="1">
      <alignment horizontal="right"/>
    </xf>
    <xf borderId="0" fillId="0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1" fillId="6" fontId="2" numFmtId="10" xfId="0" applyAlignment="1" applyBorder="1" applyFont="1" applyNumberFormat="1">
      <alignment readingOrder="0"/>
    </xf>
    <xf borderId="1" fillId="6" fontId="3" numFmtId="0" xfId="0" applyBorder="1" applyFont="1"/>
    <xf borderId="1" fillId="6" fontId="2" numFmtId="2" xfId="0" applyAlignment="1" applyBorder="1" applyFont="1" applyNumberFormat="1">
      <alignment horizontal="right"/>
    </xf>
    <xf borderId="1" fillId="9" fontId="3" numFmtId="0" xfId="0" applyAlignment="1" applyBorder="1" applyFill="1" applyFont="1">
      <alignment shrinkToFit="0" wrapText="1"/>
    </xf>
    <xf borderId="0" fillId="0" fontId="3" numFmtId="164" xfId="0" applyAlignment="1" applyFont="1" applyNumberFormat="1">
      <alignment readingOrder="0"/>
    </xf>
    <xf borderId="0" fillId="0" fontId="4" numFmtId="0" xfId="0" applyFont="1"/>
    <xf borderId="0" fillId="0" fontId="5" numFmtId="165" xfId="0" applyAlignment="1" applyFont="1" applyNumberFormat="1">
      <alignment readingOrder="0"/>
    </xf>
    <xf borderId="1" fillId="4" fontId="3" numFmtId="0" xfId="0" applyAlignment="1" applyBorder="1" applyFont="1">
      <alignment shrinkToFit="0" wrapText="1"/>
    </xf>
    <xf borderId="0" fillId="0" fontId="3" numFmtId="165" xfId="0" applyAlignment="1" applyFont="1" applyNumberFormat="1">
      <alignment horizontal="right"/>
    </xf>
    <xf borderId="1" fillId="5" fontId="3" numFmtId="10" xfId="0" applyAlignment="1" applyBorder="1" applyFont="1" applyNumberFormat="1">
      <alignment horizontal="right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horizontal="right" readingOrder="0"/>
    </xf>
    <xf borderId="0" fillId="0" fontId="3" numFmtId="10" xfId="0" applyAlignment="1" applyFont="1" applyNumberFormat="1">
      <alignment horizontal="right" readingOrder="0"/>
    </xf>
    <xf borderId="0" fillId="0" fontId="3" numFmtId="164" xfId="0" applyAlignment="1" applyFont="1" applyNumberFormat="1">
      <alignment horizontal="right" readingOrder="0"/>
    </xf>
    <xf borderId="0" fillId="0" fontId="3" numFmtId="166" xfId="0" applyAlignment="1" applyFont="1" applyNumberFormat="1">
      <alignment horizontal="right" readingOrder="0"/>
    </xf>
    <xf borderId="0" fillId="0" fontId="3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5" numFmtId="10" xfId="0" applyAlignment="1" applyFont="1" applyNumberFormat="1">
      <alignment horizontal="right" readingOrder="0"/>
    </xf>
    <xf borderId="1" fillId="5" fontId="5" numFmtId="10" xfId="0" applyAlignment="1" applyBorder="1" applyFont="1" applyNumberFormat="1">
      <alignment horizontal="right"/>
    </xf>
    <xf borderId="0" fillId="0" fontId="5" numFmtId="10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0" fontId="3" numFmtId="4" xfId="0" applyAlignment="1" applyFont="1" applyNumberFormat="1">
      <alignment horizontal="right" readingOrder="0"/>
    </xf>
    <xf borderId="0" fillId="0" fontId="3" numFmtId="0" xfId="0" applyAlignment="1" applyFont="1">
      <alignment shrinkToFit="0" wrapText="1"/>
    </xf>
    <xf borderId="0" fillId="0" fontId="2" numFmtId="165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3" numFmtId="14" xfId="0" applyFont="1" applyNumberFormat="1"/>
    <xf borderId="1" fillId="6" fontId="2" numFmtId="4" xfId="0" applyBorder="1" applyFont="1" applyNumberFormat="1"/>
    <xf borderId="1" fillId="3" fontId="2" numFmtId="0" xfId="0" applyBorder="1" applyFont="1"/>
    <xf borderId="1" fillId="6" fontId="3" numFmtId="164" xfId="0" applyBorder="1" applyFont="1" applyNumberFormat="1"/>
    <xf borderId="1" fillId="6" fontId="3" numFmtId="165" xfId="0" applyBorder="1" applyFont="1" applyNumberFormat="1"/>
    <xf borderId="1" fillId="6" fontId="3" numFmtId="166" xfId="0" applyBorder="1" applyFont="1" applyNumberFormat="1"/>
    <xf borderId="1" fillId="6" fontId="3" numFmtId="10" xfId="0" applyBorder="1" applyFont="1" applyNumberFormat="1"/>
    <xf borderId="2" fillId="10" fontId="4" numFmtId="0" xfId="0" applyAlignment="1" applyBorder="1" applyFill="1" applyFont="1">
      <alignment horizontal="left"/>
    </xf>
    <xf borderId="3" fillId="0" fontId="11" numFmtId="0" xfId="0" applyBorder="1" applyFont="1"/>
    <xf borderId="1" fillId="10" fontId="3" numFmtId="0" xfId="0" applyBorder="1" applyFont="1"/>
    <xf borderId="1" fillId="10" fontId="3" numFmtId="164" xfId="0" applyBorder="1" applyFont="1" applyNumberFormat="1"/>
    <xf borderId="1" fillId="10" fontId="5" numFmtId="165" xfId="0" applyBorder="1" applyFont="1" applyNumberFormat="1"/>
    <xf borderId="1" fillId="10" fontId="3" numFmtId="10" xfId="0" applyBorder="1" applyFont="1" applyNumberFormat="1"/>
    <xf borderId="1" fillId="10" fontId="5" numFmtId="10" xfId="0" applyBorder="1" applyFont="1" applyNumberFormat="1"/>
    <xf borderId="1" fillId="10" fontId="3" numFmtId="166" xfId="0" applyBorder="1" applyFont="1" applyNumberFormat="1"/>
    <xf borderId="1" fillId="10" fontId="3" numFmtId="2" xfId="0" applyAlignment="1" applyBorder="1" applyFont="1" applyNumberFormat="1">
      <alignment horizontal="right"/>
    </xf>
    <xf borderId="1" fillId="10" fontId="5" numFmtId="0" xfId="0" applyBorder="1" applyFont="1"/>
    <xf borderId="1" fillId="10" fontId="5" numFmtId="166" xfId="0" applyBorder="1" applyFont="1" applyNumberFormat="1"/>
    <xf borderId="1" fillId="10" fontId="5" numFmtId="164" xfId="0" applyBorder="1" applyFont="1" applyNumberFormat="1"/>
    <xf borderId="0" fillId="0" fontId="3" numFmtId="168" xfId="0" applyAlignment="1" applyFont="1" applyNumberFormat="1">
      <alignment readingOrder="0"/>
    </xf>
    <xf borderId="1" fillId="10" fontId="2" numFmtId="0" xfId="0" applyAlignment="1" applyBorder="1" applyFont="1">
      <alignment horizontal="center"/>
    </xf>
    <xf borderId="1" fillId="10" fontId="2" numFmtId="164" xfId="0" applyBorder="1" applyFont="1" applyNumberFormat="1"/>
    <xf borderId="1" fillId="10" fontId="2" numFmtId="10" xfId="0" applyBorder="1" applyFont="1" applyNumberFormat="1"/>
    <xf borderId="2" fillId="10" fontId="2" numFmtId="0" xfId="0" applyAlignment="1" applyBorder="1" applyFont="1">
      <alignment horizontal="left"/>
    </xf>
    <xf borderId="0" fillId="0" fontId="3" numFmtId="2" xfId="0" applyFont="1" applyNumberFormat="1"/>
    <xf borderId="1" fillId="11" fontId="3" numFmtId="10" xfId="0" applyAlignment="1" applyBorder="1" applyFill="1" applyFont="1" applyNumberFormat="1">
      <alignment horizontal="right"/>
    </xf>
    <xf borderId="0" fillId="0" fontId="3" numFmtId="4" xfId="0" applyFont="1" applyNumberFormat="1"/>
    <xf borderId="0" fillId="3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6" fontId="12" numFmtId="169" xfId="0" applyAlignment="1" applyFont="1" applyNumberFormat="1">
      <alignment vertical="bottom"/>
    </xf>
    <xf borderId="0" fillId="0" fontId="12" numFmtId="169" xfId="0" applyAlignment="1" applyFont="1" applyNumberFormat="1">
      <alignment horizontal="right" readingOrder="0" vertical="bottom"/>
    </xf>
    <xf borderId="0" fillId="0" fontId="12" numFmtId="170" xfId="0" applyAlignment="1" applyFont="1" applyNumberFormat="1">
      <alignment horizontal="right" vertical="bottom"/>
    </xf>
    <xf borderId="0" fillId="0" fontId="12" numFmtId="169" xfId="0" applyAlignment="1" applyFont="1" applyNumberFormat="1">
      <alignment horizontal="right" vertical="bottom"/>
    </xf>
    <xf borderId="0" fillId="0" fontId="12" numFmtId="10" xfId="0" applyAlignment="1" applyFont="1" applyNumberFormat="1">
      <alignment horizontal="right" vertical="bottom"/>
    </xf>
    <xf borderId="0" fillId="0" fontId="12" numFmtId="171" xfId="0" applyAlignment="1" applyFont="1" applyNumberFormat="1">
      <alignment horizontal="right" vertical="bottom"/>
    </xf>
    <xf borderId="0" fillId="11" fontId="12" numFmtId="10" xfId="0" applyAlignment="1" applyFont="1" applyNumberFormat="1">
      <alignment horizontal="right" vertical="bottom"/>
    </xf>
    <xf borderId="0" fillId="0" fontId="12" numFmtId="2" xfId="0" applyAlignment="1" applyFont="1" applyNumberFormat="1">
      <alignment vertical="bottom"/>
    </xf>
    <xf borderId="0" fillId="0" fontId="12" numFmtId="164" xfId="0" applyAlignment="1" applyFont="1" applyNumberFormat="1">
      <alignment horizontal="right" readingOrder="0" vertical="bottom"/>
    </xf>
    <xf borderId="0" fillId="0" fontId="12" numFmtId="164" xfId="0" applyAlignment="1" applyFont="1" applyNumberFormat="1">
      <alignment horizontal="right" vertical="bottom"/>
    </xf>
    <xf borderId="0" fillId="5" fontId="12" numFmtId="10" xfId="0" applyAlignment="1" applyFont="1" applyNumberFormat="1">
      <alignment horizontal="right" vertical="bottom"/>
    </xf>
    <xf borderId="0" fillId="0" fontId="12" numFmtId="0" xfId="0" applyAlignment="1" applyFont="1">
      <alignment readingOrder="0" vertical="bottom"/>
    </xf>
    <xf borderId="0" fillId="0" fontId="12" numFmtId="170" xfId="0" applyAlignment="1" applyFont="1" applyNumberFormat="1">
      <alignment horizontal="right" readingOrder="0" vertical="bottom"/>
    </xf>
    <xf borderId="0" fillId="0" fontId="12" numFmtId="10" xfId="0" applyAlignment="1" applyFont="1" applyNumberFormat="1">
      <alignment horizontal="right" readingOrder="0" vertical="bottom"/>
    </xf>
    <xf borderId="0" fillId="0" fontId="12" numFmtId="171" xfId="0" applyAlignment="1" applyFont="1" applyNumberFormat="1">
      <alignment horizontal="right" readingOrder="0" vertical="bottom"/>
    </xf>
    <xf borderId="1" fillId="6" fontId="2" numFmtId="164" xfId="0" applyAlignment="1" applyBorder="1" applyFont="1" applyNumberFormat="1">
      <alignment readingOrder="0"/>
    </xf>
    <xf borderId="0" fillId="0" fontId="3" numFmtId="168" xfId="0" applyFont="1" applyNumberFormat="1"/>
    <xf borderId="1" fillId="3" fontId="2" numFmtId="0" xfId="0" applyAlignment="1" applyBorder="1" applyFont="1">
      <alignment shrinkToFit="0" vertical="center" wrapText="1"/>
    </xf>
    <xf borderId="1" fillId="6" fontId="2" numFmtId="0" xfId="0" applyAlignment="1" applyBorder="1" applyFont="1">
      <alignment vertical="center"/>
    </xf>
    <xf borderId="1" fillId="6" fontId="2" numFmtId="164" xfId="0" applyAlignment="1" applyBorder="1" applyFont="1" applyNumberFormat="1">
      <alignment vertical="center"/>
    </xf>
    <xf borderId="1" fillId="6" fontId="2" numFmtId="166" xfId="0" applyAlignment="1" applyBorder="1" applyFont="1" applyNumberFormat="1">
      <alignment vertical="center"/>
    </xf>
    <xf borderId="1" fillId="6" fontId="4" numFmtId="10" xfId="0" applyAlignment="1" applyBorder="1" applyFont="1" applyNumberFormat="1">
      <alignment vertical="center"/>
    </xf>
    <xf borderId="1" fillId="6" fontId="2" numFmtId="2" xfId="0" applyAlignment="1" applyBorder="1" applyFont="1" applyNumberFormat="1">
      <alignment horizontal="right" vertical="center"/>
    </xf>
    <xf borderId="1" fillId="6" fontId="2" numFmtId="10" xfId="0" applyAlignment="1" applyBorder="1" applyFont="1" applyNumberFormat="1">
      <alignment vertical="center"/>
    </xf>
    <xf borderId="0" fillId="0" fontId="3" numFmtId="0" xfId="0" applyAlignment="1" applyFont="1">
      <alignment horizontal="right" shrinkToFit="0" wrapText="1"/>
    </xf>
    <xf borderId="4" fillId="12" fontId="1" numFmtId="0" xfId="0" applyAlignment="1" applyBorder="1" applyFill="1" applyFont="1">
      <alignment readingOrder="0"/>
    </xf>
    <xf borderId="4" fillId="12" fontId="1" numFmtId="0" xfId="0" applyBorder="1" applyFont="1"/>
    <xf borderId="4" fillId="12" fontId="1" numFmtId="168" xfId="0" applyBorder="1" applyFont="1" applyNumberFormat="1"/>
    <xf borderId="4" fillId="12" fontId="1" numFmtId="166" xfId="0" applyBorder="1" applyFont="1" applyNumberFormat="1"/>
    <xf borderId="4" fillId="12" fontId="1" numFmtId="10" xfId="0" applyBorder="1" applyFont="1" applyNumberFormat="1"/>
    <xf borderId="4" fillId="12" fontId="13" numFmtId="168" xfId="0" applyBorder="1" applyFont="1" applyNumberFormat="1"/>
    <xf borderId="4" fillId="0" fontId="9" numFmtId="0" xfId="0" applyBorder="1" applyFont="1"/>
    <xf borderId="4" fillId="0" fontId="3" numFmtId="0" xfId="0" applyAlignment="1" applyBorder="1" applyFont="1">
      <alignment readingOrder="0"/>
    </xf>
    <xf borderId="4" fillId="0" fontId="3" numFmtId="0" xfId="0" applyBorder="1" applyFont="1"/>
    <xf borderId="4" fillId="0" fontId="9" numFmtId="0" xfId="0" applyAlignment="1" applyBorder="1" applyFont="1">
      <alignment readingOrder="0"/>
    </xf>
    <xf borderId="4" fillId="0" fontId="3" numFmtId="172" xfId="0" applyAlignment="1" applyBorder="1" applyFont="1" applyNumberFormat="1">
      <alignment readingOrder="0"/>
    </xf>
    <xf borderId="4" fillId="0" fontId="3" numFmtId="10" xfId="0" applyBorder="1" applyFont="1" applyNumberFormat="1"/>
    <xf borderId="4" fillId="0" fontId="3" numFmtId="168" xfId="0" applyBorder="1" applyFont="1" applyNumberFormat="1"/>
    <xf borderId="0" fillId="0" fontId="9" numFmtId="0" xfId="0" applyAlignment="1" applyFont="1">
      <alignment readingOrder="0"/>
    </xf>
    <xf borderId="0" fillId="0" fontId="12" numFmtId="0" xfId="0" applyAlignment="1" applyFont="1">
      <alignment vertical="bottom"/>
    </xf>
    <xf borderId="4" fillId="0" fontId="3" numFmtId="168" xfId="0" applyAlignment="1" applyBorder="1" applyFont="1" applyNumberFormat="1">
      <alignment readingOrder="0"/>
    </xf>
    <xf borderId="4" fillId="8" fontId="3" numFmtId="0" xfId="0" applyAlignment="1" applyBorder="1" applyFont="1">
      <alignment readingOrder="0"/>
    </xf>
    <xf borderId="4" fillId="8" fontId="3" numFmtId="0" xfId="0" applyBorder="1" applyFont="1"/>
    <xf borderId="4" fillId="8" fontId="3" numFmtId="166" xfId="0" applyAlignment="1" applyBorder="1" applyFont="1" applyNumberFormat="1">
      <alignment readingOrder="0"/>
    </xf>
    <xf borderId="4" fillId="8" fontId="3" numFmtId="10" xfId="0" applyBorder="1" applyFont="1" applyNumberFormat="1"/>
    <xf borderId="4" fillId="8" fontId="3" numFmtId="168" xfId="0" applyAlignment="1" applyBorder="1" applyFont="1" applyNumberFormat="1">
      <alignment readingOrder="0"/>
    </xf>
    <xf borderId="4" fillId="8" fontId="9" numFmtId="0" xfId="0" applyAlignment="1" applyBorder="1" applyFont="1">
      <alignment readingOrder="0"/>
    </xf>
    <xf borderId="0" fillId="0" fontId="12" numFmtId="3" xfId="0" applyAlignment="1" applyFont="1" applyNumberFormat="1">
      <alignment horizontal="right" vertical="bottom"/>
    </xf>
    <xf borderId="0" fillId="0" fontId="12" numFmtId="168" xfId="0" applyAlignment="1" applyFont="1" applyNumberFormat="1">
      <alignment horizontal="right" vertical="bottom"/>
    </xf>
    <xf borderId="4" fillId="0" fontId="3" numFmtId="166" xfId="0" applyAlignment="1" applyBorder="1" applyFont="1" applyNumberFormat="1">
      <alignment readingOrder="0"/>
    </xf>
    <xf borderId="4" fillId="0" fontId="3" numFmtId="166" xfId="0" applyBorder="1" applyFont="1" applyNumberFormat="1"/>
    <xf borderId="4" fillId="0" fontId="5" numFmtId="0" xfId="0" applyBorder="1" applyFont="1"/>
    <xf borderId="4" fillId="8" fontId="5" numFmtId="0" xfId="0" applyBorder="1" applyFont="1"/>
    <xf borderId="4" fillId="8" fontId="3" numFmtId="166" xfId="0" applyBorder="1" applyFont="1" applyNumberFormat="1"/>
    <xf borderId="4" fillId="8" fontId="3" numFmtId="168" xfId="0" applyBorder="1" applyFont="1" applyNumberFormat="1"/>
    <xf borderId="4" fillId="8" fontId="3" numFmtId="164" xfId="0" applyBorder="1" applyFont="1" applyNumberFormat="1"/>
    <xf borderId="1" fillId="12" fontId="1" numFmtId="0" xfId="0" applyAlignment="1" applyBorder="1" applyFont="1">
      <alignment readingOrder="0"/>
    </xf>
    <xf borderId="1" fillId="12" fontId="1" numFmtId="0" xfId="0" applyBorder="1" applyFont="1"/>
    <xf borderId="1" fillId="12" fontId="1" numFmtId="168" xfId="0" applyBorder="1" applyFont="1" applyNumberFormat="1"/>
    <xf borderId="1" fillId="12" fontId="1" numFmtId="166" xfId="0" applyBorder="1" applyFont="1" applyNumberFormat="1"/>
    <xf borderId="1" fillId="12" fontId="1" numFmtId="10" xfId="0" applyBorder="1" applyFont="1" applyNumberFormat="1"/>
    <xf borderId="1" fillId="12" fontId="13" numFmtId="168" xfId="0" applyBorder="1" applyFont="1" applyNumberFormat="1"/>
    <xf borderId="0" fillId="0" fontId="3" numFmtId="172" xfId="0" applyAlignment="1" applyFont="1" applyNumberFormat="1">
      <alignment readingOrder="0"/>
    </xf>
    <xf borderId="0" fillId="8" fontId="3" numFmtId="0" xfId="0" applyAlignment="1" applyFont="1">
      <alignment readingOrder="0"/>
    </xf>
    <xf borderId="0" fillId="8" fontId="3" numFmtId="168" xfId="0" applyAlignment="1" applyFont="1" applyNumberFormat="1">
      <alignment readingOrder="0"/>
    </xf>
    <xf borderId="0" fillId="8" fontId="3" numFmtId="166" xfId="0" applyAlignment="1" applyFont="1" applyNumberFormat="1">
      <alignment readingOrder="0"/>
    </xf>
    <xf borderId="0" fillId="8" fontId="3" numFmtId="10" xfId="0" applyFont="1" applyNumberFormat="1"/>
    <xf borderId="2" fillId="8" fontId="3" numFmtId="0" xfId="0" applyAlignment="1" applyBorder="1" applyFont="1">
      <alignment readingOrder="0"/>
    </xf>
    <xf borderId="3" fillId="8" fontId="3" numFmtId="0" xfId="0" applyAlignment="1" applyBorder="1" applyFont="1">
      <alignment readingOrder="0"/>
    </xf>
    <xf borderId="1" fillId="8" fontId="3" numFmtId="0" xfId="0" applyAlignment="1" applyBorder="1" applyFont="1">
      <alignment readingOrder="0"/>
    </xf>
    <xf borderId="1" fillId="8" fontId="3" numFmtId="168" xfId="0" applyAlignment="1" applyBorder="1" applyFont="1" applyNumberFormat="1">
      <alignment readingOrder="0"/>
    </xf>
    <xf borderId="1" fillId="8" fontId="3" numFmtId="166" xfId="0" applyAlignment="1" applyBorder="1" applyFont="1" applyNumberFormat="1">
      <alignment readingOrder="0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166" xfId="0" applyAlignment="1" applyBorder="1" applyFont="1" applyNumberFormat="1">
      <alignment readingOrder="0"/>
    </xf>
    <xf borderId="1" fillId="0" fontId="3" numFmtId="0" xfId="0" applyBorder="1" applyFont="1"/>
    <xf borderId="1" fillId="0" fontId="3" numFmtId="168" xfId="0" applyAlignment="1" applyBorder="1" applyFont="1" applyNumberFormat="1">
      <alignment readingOrder="0"/>
    </xf>
    <xf borderId="0" fillId="8" fontId="3" numFmtId="168" xfId="0" applyFont="1" applyNumberFormat="1"/>
    <xf borderId="1" fillId="8" fontId="3" numFmtId="168" xfId="0" applyBorder="1" applyFont="1" applyNumberFormat="1"/>
    <xf borderId="1" fillId="8" fontId="3" numFmtId="166" xfId="0" applyBorder="1" applyFont="1" applyNumberFormat="1"/>
    <xf borderId="1" fillId="8" fontId="5" numFmtId="0" xfId="0" applyBorder="1" applyFont="1"/>
    <xf borderId="1" fillId="8" fontId="3" numFmtId="167" xfId="0" applyBorder="1" applyFont="1" applyNumberFormat="1"/>
    <xf borderId="1" fillId="2" fontId="1" numFmtId="0" xfId="0" applyAlignment="1" applyBorder="1" applyFont="1">
      <alignment horizontal="center" vertical="center"/>
    </xf>
    <xf borderId="0" fillId="0" fontId="3" numFmtId="173" xfId="0" applyFont="1" applyNumberFormat="1"/>
    <xf borderId="0" fillId="0" fontId="3" numFmtId="9" xfId="0" applyFont="1" applyNumberFormat="1"/>
    <xf borderId="1" fillId="3" fontId="4" numFmtId="0" xfId="0" applyBorder="1" applyFont="1"/>
    <xf borderId="1" fillId="3" fontId="2" numFmtId="0" xfId="0" applyAlignment="1" applyBorder="1" applyFont="1">
      <alignment horizontal="right"/>
    </xf>
    <xf borderId="1" fillId="3" fontId="2" numFmtId="0" xfId="0" applyAlignment="1" applyBorder="1" applyFont="1">
      <alignment horizontal="left"/>
    </xf>
    <xf borderId="1" fillId="3" fontId="4" numFmtId="0" xfId="0" applyAlignment="1" applyBorder="1" applyFont="1">
      <alignment horizontal="right"/>
    </xf>
    <xf borderId="1" fillId="12" fontId="13" numFmtId="0" xfId="0" applyBorder="1" applyFont="1"/>
    <xf borderId="1" fillId="8" fontId="3" numFmtId="10" xfId="0" applyAlignment="1" applyBorder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" fillId="8" fontId="3" numFmtId="9" xfId="0" applyAlignment="1" applyBorder="1" applyFont="1" applyNumberFormat="1">
      <alignment horizontal="center"/>
    </xf>
    <xf borderId="0" fillId="0" fontId="3" numFmtId="3" xfId="0" applyFont="1" applyNumberFormat="1"/>
    <xf borderId="0" fillId="0" fontId="3" numFmtId="168" xfId="0" applyAlignment="1" applyFont="1" applyNumberFormat="1">
      <alignment horizontal="center"/>
    </xf>
    <xf borderId="1" fillId="8" fontId="3" numFmtId="3" xfId="0" applyBorder="1" applyFont="1" applyNumberFormat="1"/>
    <xf borderId="1" fillId="8" fontId="3" numFmtId="168" xfId="0" applyAlignment="1" applyBorder="1" applyFont="1" applyNumberFormat="1">
      <alignment horizontal="center"/>
    </xf>
    <xf borderId="0" fillId="0" fontId="3" numFmtId="9" xfId="0" applyAlignment="1" applyFont="1" applyNumberFormat="1">
      <alignment horizontal="center"/>
    </xf>
    <xf borderId="1" fillId="8" fontId="3" numFmtId="0" xfId="0" applyAlignment="1" applyBorder="1" applyFont="1">
      <alignment horizontal="center"/>
    </xf>
    <xf borderId="0" fillId="0" fontId="3" numFmtId="4" xfId="0" applyAlignment="1" applyFont="1" applyNumberFormat="1">
      <alignment horizontal="center"/>
    </xf>
    <xf borderId="1" fillId="9" fontId="3" numFmtId="0" xfId="0" applyBorder="1" applyFont="1"/>
    <xf borderId="1" fillId="9" fontId="3" numFmtId="168" xfId="0" applyBorder="1" applyFont="1" applyNumberFormat="1"/>
    <xf borderId="5" fillId="2" fontId="1" numFmtId="166" xfId="0" applyAlignment="1" applyBorder="1" applyFont="1" applyNumberFormat="1">
      <alignment horizontal="center"/>
    </xf>
    <xf borderId="6" fillId="0" fontId="11" numFmtId="0" xfId="0" applyBorder="1" applyFont="1"/>
    <xf borderId="7" fillId="0" fontId="11" numFmtId="0" xfId="0" applyBorder="1" applyFont="1"/>
    <xf borderId="8" fillId="0" fontId="3" numFmtId="0" xfId="0" applyBorder="1" applyFont="1"/>
    <xf borderId="8" fillId="0" fontId="3" numFmtId="168" xfId="0" applyBorder="1" applyFont="1" applyNumberFormat="1"/>
    <xf borderId="8" fillId="0" fontId="3" numFmtId="166" xfId="0" applyBorder="1" applyFont="1" applyNumberFormat="1"/>
    <xf borderId="9" fillId="2" fontId="1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10" fillId="2" fontId="1" numFmtId="168" xfId="0" applyAlignment="1" applyBorder="1" applyFont="1" applyNumberFormat="1">
      <alignment horizontal="center"/>
    </xf>
    <xf borderId="10" fillId="2" fontId="1" numFmtId="166" xfId="0" applyAlignment="1" applyBorder="1" applyFont="1" applyNumberFormat="1">
      <alignment horizontal="center"/>
    </xf>
    <xf borderId="11" fillId="0" fontId="3" numFmtId="0" xfId="0" applyBorder="1" applyFont="1"/>
    <xf borderId="10" fillId="13" fontId="3" numFmtId="0" xfId="0" applyBorder="1" applyFill="1" applyFont="1"/>
    <xf borderId="12" fillId="0" fontId="3" numFmtId="1" xfId="0" applyAlignment="1" applyBorder="1" applyFont="1" applyNumberFormat="1">
      <alignment horizontal="right"/>
    </xf>
    <xf borderId="10" fillId="4" fontId="3" numFmtId="168" xfId="0" applyAlignment="1" applyBorder="1" applyFont="1" applyNumberFormat="1">
      <alignment horizontal="right"/>
    </xf>
    <xf borderId="12" fillId="0" fontId="3" numFmtId="168" xfId="0" applyAlignment="1" applyBorder="1" applyFont="1" applyNumberFormat="1">
      <alignment horizontal="right"/>
    </xf>
    <xf borderId="10" fillId="14" fontId="3" numFmtId="0" xfId="0" applyBorder="1" applyFill="1" applyFont="1"/>
    <xf borderId="12" fillId="0" fontId="3" numFmtId="3" xfId="0" applyAlignment="1" applyBorder="1" applyFont="1" applyNumberFormat="1">
      <alignment horizontal="right"/>
    </xf>
    <xf borderId="1" fillId="12" fontId="14" numFmtId="0" xfId="0" applyBorder="1" applyFont="1"/>
    <xf borderId="1" fillId="12" fontId="14" numFmtId="168" xfId="0" applyBorder="1" applyFont="1" applyNumberFormat="1"/>
    <xf borderId="0" fillId="0" fontId="3" numFmtId="174" xfId="0" applyFont="1" applyNumberFormat="1"/>
    <xf borderId="0" fillId="0" fontId="3" numFmtId="175" xfId="0" applyFont="1" applyNumberFormat="1"/>
    <xf borderId="1" fillId="4" fontId="14" numFmtId="0" xfId="0" applyBorder="1" applyFont="1"/>
    <xf borderId="0" fillId="0" fontId="5" numFmtId="168" xfId="0" applyFont="1" applyNumberFormat="1"/>
    <xf borderId="0" fillId="0" fontId="5" numFmtId="174" xfId="0" applyFont="1" applyNumberFormat="1"/>
    <xf borderId="0" fillId="0" fontId="5" numFmtId="0" xfId="0" applyAlignment="1" applyFont="1">
      <alignment horizontal="left" vertical="top"/>
    </xf>
    <xf borderId="1" fillId="15" fontId="14" numFmtId="0" xfId="0" applyBorder="1" applyFill="1" applyFont="1"/>
  </cellXfs>
  <cellStyles count="1">
    <cellStyle xfId="0" name="Normal" builtinId="0"/>
  </cellStyles>
  <dxfs count="7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6.63"/>
    <col customWidth="1" min="4" max="6" width="12.63"/>
    <col customWidth="1" min="10" max="10" width="4.63"/>
    <col customWidth="1" min="16" max="16" width="4.63"/>
  </cols>
  <sheetData>
    <row r="1">
      <c r="A1" s="1"/>
      <c r="B1" s="1" t="s">
        <v>0</v>
      </c>
      <c r="C1" s="1" t="s">
        <v>1</v>
      </c>
      <c r="D1" s="2" t="s">
        <v>2</v>
      </c>
      <c r="E1" s="3" t="s">
        <v>3</v>
      </c>
      <c r="F1" s="4" t="s">
        <v>4</v>
      </c>
      <c r="G1" s="3" t="s">
        <v>5</v>
      </c>
      <c r="H1" s="1" t="s">
        <v>6</v>
      </c>
      <c r="I1" s="1" t="s">
        <v>7</v>
      </c>
      <c r="J1" s="1"/>
      <c r="K1" s="3" t="s">
        <v>8</v>
      </c>
      <c r="L1" s="5" t="s">
        <v>9</v>
      </c>
      <c r="M1" s="1" t="s">
        <v>10</v>
      </c>
      <c r="N1" s="2" t="s">
        <v>11</v>
      </c>
      <c r="O1" s="1" t="s">
        <v>12</v>
      </c>
      <c r="P1" s="1"/>
      <c r="Q1" s="1" t="s">
        <v>13</v>
      </c>
      <c r="R1" s="5" t="s">
        <v>14</v>
      </c>
      <c r="S1" s="3" t="s">
        <v>15</v>
      </c>
      <c r="T1" s="1" t="s">
        <v>16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5.75" customHeight="1">
      <c r="A2" s="6" t="s">
        <v>17</v>
      </c>
      <c r="B2" s="7"/>
      <c r="C2" s="7"/>
      <c r="D2" s="8"/>
      <c r="E2" s="9"/>
      <c r="F2" s="10"/>
      <c r="G2" s="11"/>
      <c r="H2" s="8"/>
      <c r="I2" s="8"/>
      <c r="J2" s="7"/>
      <c r="K2" s="9"/>
      <c r="L2" s="12"/>
      <c r="M2" s="13"/>
      <c r="N2" s="13"/>
      <c r="O2" s="7"/>
      <c r="P2" s="7"/>
      <c r="Q2" s="7"/>
      <c r="R2" s="14"/>
      <c r="S2" s="15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</row>
    <row r="3" ht="15.75" customHeight="1">
      <c r="A3" s="17"/>
      <c r="B3" s="18" t="s">
        <v>18</v>
      </c>
      <c r="C3" s="18" t="str">
        <f>VLOOKUP($B3, 'Sector Holdings'!$B$2:$C$130, 2, FALSE)</f>
        <v>#N/A</v>
      </c>
      <c r="D3" s="19">
        <v>0.06625</v>
      </c>
      <c r="E3" s="20" t="str">
        <f>OFFSET('Sector Holdings'!$A$1:$H$18, MATCH("Fixed Income", 'Sector Holdings'!$A$1:$A$130, 0), 5, $B$14)</f>
        <v>#REF!</v>
      </c>
      <c r="F3" s="21">
        <v>25.0</v>
      </c>
      <c r="G3" s="11">
        <v>22847.5</v>
      </c>
      <c r="H3" s="19">
        <v>0.008329295734795778</v>
      </c>
      <c r="I3" s="22">
        <v>0.015</v>
      </c>
      <c r="J3" s="23"/>
      <c r="K3" s="24">
        <v>1007.19</v>
      </c>
      <c r="L3" s="25">
        <v>43864.0</v>
      </c>
      <c r="M3" s="26">
        <f t="shared" ref="M3:M7" si="1">ROUND(DATEDIF(L3,TODAY(),"M")/6,0)*(D3*1000)</f>
        <v>795</v>
      </c>
      <c r="N3" s="22" t="str">
        <f t="shared" ref="N3:N7" si="2">(((E3+M3)/K3-1) )</f>
        <v>#REF!</v>
      </c>
      <c r="Q3" s="27" t="str">
        <f>OFFSET('Sector Holdings'!$A$1:$M$18, MATCH("Fixed Income", 'Sector Holdings'!$A$1:$A$130, 0), 17, $B$14)</f>
        <v>#REF!</v>
      </c>
      <c r="R3" s="28" t="s">
        <v>19</v>
      </c>
      <c r="S3" s="29">
        <v>44292.0</v>
      </c>
      <c r="T3" s="30">
        <v>1000.0</v>
      </c>
      <c r="U3" s="30">
        <v>-0.08610000000000007</v>
      </c>
      <c r="V3" s="30"/>
      <c r="W3" s="30"/>
      <c r="X3" s="30"/>
      <c r="Y3" s="30"/>
      <c r="Z3" s="30"/>
      <c r="AA3" s="30"/>
      <c r="AB3" s="30"/>
      <c r="AC3" s="30"/>
      <c r="AD3" s="30"/>
      <c r="AE3" s="30"/>
    </row>
    <row r="4" ht="15.75" customHeight="1">
      <c r="A4" s="17"/>
      <c r="B4" s="23" t="s">
        <v>20</v>
      </c>
      <c r="C4" s="18" t="str">
        <f>VLOOKUP(B4, 'Sector Holdings'!$B$2:$C$130, 2, FALSE)</f>
        <v>#N/A</v>
      </c>
      <c r="D4" s="19">
        <v>0.05</v>
      </c>
      <c r="E4" s="24">
        <v>1058.6</v>
      </c>
      <c r="F4" s="21">
        <v>25.0</v>
      </c>
      <c r="G4" s="11">
        <v>26464.999999999996</v>
      </c>
      <c r="H4" s="19">
        <v>0.009648093297794955</v>
      </c>
      <c r="I4" s="22">
        <v>0.015</v>
      </c>
      <c r="J4" s="23"/>
      <c r="K4" s="24">
        <v>1092.5</v>
      </c>
      <c r="L4" s="25">
        <v>44823.0</v>
      </c>
      <c r="M4" s="26">
        <f t="shared" si="1"/>
        <v>350</v>
      </c>
      <c r="N4" s="22">
        <f t="shared" si="2"/>
        <v>0.2893363844</v>
      </c>
      <c r="R4" s="28" t="s">
        <v>21</v>
      </c>
      <c r="S4" s="29"/>
      <c r="T4" s="30">
        <v>1000.0</v>
      </c>
      <c r="U4" s="30">
        <v>0.058599999999999985</v>
      </c>
      <c r="V4" s="30"/>
      <c r="W4" s="30"/>
      <c r="X4" s="30"/>
      <c r="Y4" s="30"/>
      <c r="Z4" s="30"/>
      <c r="AA4" s="30"/>
      <c r="AB4" s="30"/>
      <c r="AC4" s="30"/>
      <c r="AD4" s="30"/>
      <c r="AE4" s="30"/>
    </row>
    <row r="5" ht="15.75" customHeight="1">
      <c r="A5" s="17"/>
      <c r="B5" s="18" t="s">
        <v>22</v>
      </c>
      <c r="C5" s="18" t="str">
        <f>VLOOKUP(B5, 'Sector Holdings'!$B$2:$C$130, 2, FALSE)</f>
        <v>FFCB Corp. 2.25 12/18/29</v>
      </c>
      <c r="D5" s="19">
        <v>0.0225</v>
      </c>
      <c r="E5" s="24">
        <v>992.2</v>
      </c>
      <c r="F5" s="21">
        <v>29.0</v>
      </c>
      <c r="G5" s="11">
        <v>28773.800000000003</v>
      </c>
      <c r="H5" s="19">
        <v>0.010489790550995373</v>
      </c>
      <c r="I5" s="22">
        <v>0.015</v>
      </c>
      <c r="J5" s="23"/>
      <c r="K5" s="24">
        <v>907.92</v>
      </c>
      <c r="L5" s="25">
        <v>44830.0</v>
      </c>
      <c r="M5" s="26">
        <f t="shared" si="1"/>
        <v>157.5</v>
      </c>
      <c r="N5" s="22">
        <f t="shared" si="2"/>
        <v>0.2663009957</v>
      </c>
      <c r="R5" s="31" t="s">
        <v>21</v>
      </c>
      <c r="S5" s="32">
        <v>44824.0</v>
      </c>
      <c r="T5" s="30">
        <v>1000.0</v>
      </c>
      <c r="U5" s="30">
        <v>-0.007799999999999918</v>
      </c>
      <c r="V5" s="30"/>
      <c r="W5" s="30"/>
      <c r="X5" s="30"/>
      <c r="Y5" s="30"/>
      <c r="Z5" s="30"/>
      <c r="AA5" s="30"/>
      <c r="AB5" s="30"/>
      <c r="AC5" s="30"/>
      <c r="AD5" s="30"/>
      <c r="AE5" s="30"/>
    </row>
    <row r="6" ht="15.75" customHeight="1">
      <c r="A6" s="17"/>
      <c r="B6" s="23" t="s">
        <v>23</v>
      </c>
      <c r="C6" s="18" t="str">
        <f>VLOOKUP(B6, 'Sector Holdings'!$B$2:$C$130, 2, FALSE)</f>
        <v>MOS 7.3 01/15/28 Corp</v>
      </c>
      <c r="D6" s="19">
        <v>0.073</v>
      </c>
      <c r="E6" s="18">
        <v>909.4</v>
      </c>
      <c r="F6" s="21">
        <v>33.0</v>
      </c>
      <c r="G6" s="11">
        <v>30010.2</v>
      </c>
      <c r="H6" s="19">
        <v>0.010940533137558519</v>
      </c>
      <c r="I6" s="22">
        <v>0.015</v>
      </c>
      <c r="J6" s="23"/>
      <c r="K6" s="18">
        <v>854.34</v>
      </c>
      <c r="L6" s="25">
        <v>45230.0</v>
      </c>
      <c r="M6" s="26">
        <f t="shared" si="1"/>
        <v>365</v>
      </c>
      <c r="N6" s="22">
        <f t="shared" si="2"/>
        <v>0.4916777864</v>
      </c>
      <c r="R6" s="28" t="s">
        <v>21</v>
      </c>
      <c r="S6" s="29">
        <v>45230.0</v>
      </c>
      <c r="T6" s="30">
        <v>1000.0</v>
      </c>
      <c r="U6" s="30">
        <v>-0.09060000000000001</v>
      </c>
      <c r="V6" s="30"/>
      <c r="W6" s="30"/>
      <c r="X6" s="30"/>
      <c r="Y6" s="30"/>
      <c r="Z6" s="30"/>
      <c r="AA6" s="30"/>
      <c r="AB6" s="30"/>
      <c r="AC6" s="30"/>
      <c r="AD6" s="30"/>
      <c r="AE6" s="30"/>
    </row>
    <row r="7" ht="15.75" customHeight="1">
      <c r="A7" s="17"/>
      <c r="B7" s="23" t="s">
        <v>24</v>
      </c>
      <c r="C7" s="18" t="str">
        <f>VLOOKUP(B7, 'Sector Holdings'!$B$2:$C$130, 2, FALSE)</f>
        <v>BTI 4.448 03/16/28 Corp</v>
      </c>
      <c r="D7" s="19">
        <v>0.04448</v>
      </c>
      <c r="E7" s="18">
        <v>996.9</v>
      </c>
      <c r="F7" s="21">
        <v>43.0</v>
      </c>
      <c r="G7" s="11">
        <v>42866.7</v>
      </c>
      <c r="H7" s="19">
        <v>0.0156275050432113</v>
      </c>
      <c r="I7" s="22">
        <v>0.02</v>
      </c>
      <c r="J7" s="23"/>
      <c r="K7" s="18">
        <v>948.61</v>
      </c>
      <c r="L7" s="25">
        <v>45261.0</v>
      </c>
      <c r="M7" s="26">
        <f t="shared" si="1"/>
        <v>177.92</v>
      </c>
      <c r="N7" s="22">
        <f t="shared" si="2"/>
        <v>0.238464701</v>
      </c>
      <c r="R7" s="28" t="s">
        <v>25</v>
      </c>
      <c r="S7" s="29">
        <v>45261.0</v>
      </c>
      <c r="T7" s="30">
        <v>1000.0</v>
      </c>
      <c r="U7" s="30">
        <v>-0.0030999999999999917</v>
      </c>
      <c r="V7" s="30"/>
      <c r="W7" s="30"/>
      <c r="X7" s="30"/>
      <c r="Y7" s="30"/>
      <c r="Z7" s="30"/>
      <c r="AA7" s="30"/>
      <c r="AB7" s="30"/>
      <c r="AC7" s="30"/>
      <c r="AD7" s="30"/>
      <c r="AE7" s="30"/>
    </row>
    <row r="8" ht="15.75" customHeight="1">
      <c r="A8" s="17"/>
      <c r="B8" s="23" t="s">
        <v>26</v>
      </c>
      <c r="C8" s="18" t="str">
        <f>VLOOKUP(B8, 'Sector Holdings'!$B$2:$C$130, 2, FALSE)</f>
        <v>#N/A</v>
      </c>
      <c r="D8" s="19"/>
      <c r="E8" s="18">
        <v>992.9</v>
      </c>
      <c r="F8" s="21">
        <v>22.0</v>
      </c>
      <c r="G8" s="11">
        <v>21843.8</v>
      </c>
      <c r="H8" s="19">
        <v>0.007963386373639655</v>
      </c>
      <c r="I8" s="22">
        <v>0.0094</v>
      </c>
      <c r="J8" s="23"/>
      <c r="K8" s="18">
        <v>961.68</v>
      </c>
      <c r="L8" s="25">
        <v>45359.0</v>
      </c>
      <c r="M8" s="26">
        <f>100*4.777%</f>
        <v>4.777</v>
      </c>
      <c r="N8" s="22">
        <f>((E8+M8)/K8-1)</f>
        <v>0.0374313701</v>
      </c>
      <c r="R8" s="28" t="s">
        <v>27</v>
      </c>
      <c r="S8" s="29">
        <v>45356.0</v>
      </c>
      <c r="T8" s="30">
        <v>956.4</v>
      </c>
      <c r="U8" s="30">
        <v>0.03816394813885404</v>
      </c>
      <c r="V8" s="30"/>
      <c r="W8" s="30"/>
      <c r="X8" s="30"/>
      <c r="Y8" s="30"/>
      <c r="Z8" s="30"/>
      <c r="AA8" s="30"/>
      <c r="AB8" s="30"/>
      <c r="AC8" s="30"/>
      <c r="AD8" s="30"/>
      <c r="AE8" s="30"/>
    </row>
    <row r="9" ht="15.75" customHeight="1">
      <c r="A9" s="33"/>
      <c r="B9" s="23" t="s">
        <v>28</v>
      </c>
      <c r="C9" s="18" t="str">
        <f>VLOOKUP(B9, 'Sector Holdings'!$B$2:$C$130, 2, FALSE)</f>
        <v>#N/A</v>
      </c>
      <c r="D9" s="19">
        <v>0.0</v>
      </c>
      <c r="E9" s="24">
        <v>993.8</v>
      </c>
      <c r="F9" s="21">
        <v>47.0</v>
      </c>
      <c r="G9" s="11">
        <v>46708.6</v>
      </c>
      <c r="H9" s="19">
        <v>0.017028109979572475</v>
      </c>
      <c r="I9" s="22">
        <v>0.02</v>
      </c>
      <c r="J9" s="23"/>
      <c r="K9" s="24">
        <v>1038.1</v>
      </c>
      <c r="L9" s="25">
        <v>45561.0</v>
      </c>
      <c r="M9" s="34">
        <f>ROUND(DATEDIF(L9,TODAY(),"M")/6,0)*(D9*1000)</f>
        <v>0</v>
      </c>
      <c r="N9" s="35">
        <v>88.96</v>
      </c>
      <c r="O9" s="23"/>
      <c r="P9" s="23"/>
      <c r="R9" s="31" t="s">
        <v>25</v>
      </c>
      <c r="S9" s="29">
        <v>45552.0</v>
      </c>
      <c r="T9" s="30">
        <v>1040.0</v>
      </c>
      <c r="U9" s="30">
        <v>-0.04442307692307701</v>
      </c>
      <c r="V9" s="30"/>
      <c r="W9" s="30"/>
      <c r="X9" s="30"/>
      <c r="Y9" s="30"/>
      <c r="Z9" s="30"/>
      <c r="AA9" s="30"/>
      <c r="AB9" s="30"/>
      <c r="AC9" s="30"/>
      <c r="AD9" s="30"/>
      <c r="AE9" s="30"/>
    </row>
    <row r="10" ht="15.75" customHeight="1">
      <c r="A10" s="17"/>
      <c r="B10" s="23" t="s">
        <v>29</v>
      </c>
      <c r="C10" s="18" t="str">
        <f>VLOOKUP(B10, 'Sector Holdings'!$B$2:$C$130, 2, FALSE)</f>
        <v>iShares Aggregate Bond ETF</v>
      </c>
      <c r="D10" s="19"/>
      <c r="E10" s="24">
        <v>1105.4</v>
      </c>
      <c r="F10" s="21">
        <v>43.0</v>
      </c>
      <c r="G10" s="11">
        <v>47532.200000000004</v>
      </c>
      <c r="H10" s="19">
        <v>0.017328361996956337</v>
      </c>
      <c r="I10" s="22">
        <v>0.02</v>
      </c>
      <c r="J10" s="23"/>
      <c r="K10" s="24">
        <v>1120.55</v>
      </c>
      <c r="L10" s="25">
        <v>45590.0</v>
      </c>
      <c r="M10" s="22"/>
      <c r="N10" s="22">
        <f>(E10/K10-1)</f>
        <v>-0.01352014636</v>
      </c>
      <c r="R10" s="36" t="s">
        <v>25</v>
      </c>
      <c r="S10" s="37">
        <v>45590.0</v>
      </c>
      <c r="T10" s="38">
        <v>1120.0</v>
      </c>
      <c r="U10" s="38">
        <v>-0.01303571428571415</v>
      </c>
      <c r="V10" s="38"/>
      <c r="W10" s="38"/>
      <c r="X10" s="38"/>
      <c r="Y10" s="38"/>
      <c r="Z10" s="38"/>
      <c r="AA10" s="38"/>
      <c r="AB10" s="38"/>
      <c r="AC10" s="38"/>
      <c r="AD10" s="38"/>
      <c r="AE10" s="38"/>
    </row>
    <row r="11" ht="15.75" customHeight="1">
      <c r="A11" s="17"/>
      <c r="B11" s="23" t="s">
        <v>30</v>
      </c>
      <c r="C11" s="18"/>
      <c r="D11" s="19"/>
      <c r="E11" s="24">
        <v>964.2</v>
      </c>
      <c r="F11" s="21">
        <v>25.0</v>
      </c>
      <c r="G11" s="11">
        <v>24105.0</v>
      </c>
      <c r="H11" s="19">
        <v>0.008787730547642073</v>
      </c>
      <c r="I11" s="22">
        <v>0.01</v>
      </c>
      <c r="J11" s="23"/>
      <c r="K11" s="24">
        <v>966.6</v>
      </c>
      <c r="L11" s="25">
        <v>45611.0</v>
      </c>
      <c r="M11" s="22"/>
      <c r="N11" s="22"/>
      <c r="Q11" s="23"/>
      <c r="R11" s="39" t="s">
        <v>31</v>
      </c>
      <c r="S11" s="29">
        <v>45610.0</v>
      </c>
      <c r="T11" s="30">
        <v>966.0</v>
      </c>
      <c r="U11" s="30">
        <v>-0.0018633540372670065</v>
      </c>
      <c r="V11" s="30"/>
      <c r="W11" s="30"/>
      <c r="X11" s="30"/>
      <c r="Y11" s="30"/>
      <c r="Z11" s="30"/>
      <c r="AA11" s="30"/>
      <c r="AB11" s="30"/>
      <c r="AC11" s="30"/>
      <c r="AD11" s="30"/>
      <c r="AE11" s="30"/>
    </row>
    <row r="12" ht="15.75" customHeight="1">
      <c r="A12" s="6" t="s">
        <v>32</v>
      </c>
      <c r="B12" s="40"/>
      <c r="C12" s="40"/>
      <c r="D12" s="41"/>
      <c r="E12" s="42">
        <v>1006.5</v>
      </c>
      <c r="F12" s="43">
        <v>33.0</v>
      </c>
      <c r="G12" s="42">
        <v>33214.5</v>
      </c>
      <c r="H12" s="41">
        <v>0.012108694307183473</v>
      </c>
      <c r="I12" s="41">
        <v>0.0125</v>
      </c>
      <c r="J12" s="40"/>
      <c r="K12" s="42">
        <v>993.26</v>
      </c>
      <c r="L12" s="44">
        <v>45701.0</v>
      </c>
      <c r="M12" s="45"/>
      <c r="N12" s="45">
        <f>(G12/K12-1)</f>
        <v>32.43988482</v>
      </c>
      <c r="O12" s="40"/>
      <c r="P12" s="40"/>
      <c r="Q12" s="40"/>
      <c r="R12" s="46" t="s">
        <v>33</v>
      </c>
      <c r="S12" s="47">
        <v>45700.0</v>
      </c>
      <c r="T12" s="48">
        <v>1000.0</v>
      </c>
      <c r="U12" s="48">
        <v>0.00649999999999995</v>
      </c>
      <c r="V12" s="48"/>
      <c r="W12" s="48"/>
      <c r="X12" s="48"/>
      <c r="Y12" s="48"/>
      <c r="Z12" s="48"/>
      <c r="AA12" s="48"/>
      <c r="AB12" s="48"/>
      <c r="AC12" s="48"/>
      <c r="AD12" s="48"/>
      <c r="AE12" s="48"/>
    </row>
    <row r="13">
      <c r="D13" s="19"/>
      <c r="E13" s="11">
        <v>1008.94</v>
      </c>
      <c r="F13" s="49">
        <v>24.0</v>
      </c>
      <c r="G13" s="11">
        <v>24214.56</v>
      </c>
      <c r="H13" s="19">
        <v>0.008827671794636458</v>
      </c>
      <c r="I13" s="19">
        <v>0.01</v>
      </c>
      <c r="J13" s="23"/>
      <c r="K13" s="11">
        <v>1003.1</v>
      </c>
      <c r="L13" s="50">
        <v>45748.0</v>
      </c>
      <c r="Q13" s="23"/>
      <c r="R13" s="39" t="s">
        <v>34</v>
      </c>
      <c r="S13" s="28">
        <v>45741.0</v>
      </c>
      <c r="T13" s="39">
        <v>1000.0</v>
      </c>
      <c r="U13" s="30">
        <v>0.008939999999999948</v>
      </c>
      <c r="V13" s="39"/>
      <c r="W13" s="39"/>
      <c r="X13" s="39"/>
      <c r="Y13" s="39"/>
      <c r="Z13" s="39"/>
      <c r="AA13" s="39"/>
      <c r="AB13" s="39"/>
      <c r="AC13" s="39"/>
      <c r="AD13" s="39"/>
      <c r="AE13" s="39"/>
    </row>
    <row r="14">
      <c r="A14" s="33" t="s">
        <v>35</v>
      </c>
      <c r="B14" s="23">
        <v>13.0</v>
      </c>
      <c r="D14" s="19"/>
      <c r="E14" s="11">
        <v>100.44</v>
      </c>
      <c r="F14" s="49">
        <v>0.0</v>
      </c>
      <c r="G14" s="11">
        <v>0.0</v>
      </c>
      <c r="H14" s="19">
        <v>0.0</v>
      </c>
      <c r="I14" s="19">
        <v>0.0</v>
      </c>
      <c r="J14" s="23"/>
      <c r="K14" s="11">
        <v>105.59</v>
      </c>
      <c r="L14" s="50">
        <v>44113.0</v>
      </c>
      <c r="Q14" s="23"/>
      <c r="R14" s="39" t="s">
        <v>36</v>
      </c>
      <c r="S14" s="39" t="s">
        <v>36</v>
      </c>
      <c r="T14" s="39" t="s">
        <v>36</v>
      </c>
      <c r="U14" s="30" t="s">
        <v>36</v>
      </c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>
      <c r="D15" s="19"/>
      <c r="E15" s="23"/>
      <c r="F15" s="49"/>
      <c r="G15" s="11">
        <v>38148.02</v>
      </c>
      <c r="H15" s="19">
        <v>0.013907260762748836</v>
      </c>
      <c r="I15" s="19"/>
      <c r="J15" s="23"/>
      <c r="K15" s="23"/>
      <c r="L15" s="51"/>
      <c r="Q15" s="23"/>
      <c r="R15" s="39"/>
      <c r="S15" s="28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>
      <c r="D16" s="1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</row>
    <row r="17">
      <c r="D17" s="1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</row>
    <row r="18">
      <c r="D18" s="1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</row>
    <row r="19">
      <c r="D19" s="1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>
      <c r="D20" s="1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5.75" customHeight="1">
      <c r="D21" s="1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</row>
    <row r="22" ht="15.75" customHeight="1">
      <c r="D22" s="1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5.75" customHeight="1">
      <c r="D23" s="1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5.75" customHeight="1">
      <c r="D24" s="1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</row>
    <row r="25" ht="15.75" customHeight="1">
      <c r="D25" s="1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 ht="15.75" customHeight="1">
      <c r="D26" s="1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</row>
    <row r="27" ht="15.75" customHeight="1">
      <c r="D27" s="1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ht="15.75" customHeight="1">
      <c r="D28" s="1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</row>
    <row r="29" ht="15.75" customHeight="1">
      <c r="D29" s="1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</row>
    <row r="30" ht="15.75" customHeight="1">
      <c r="D30" s="27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 ht="15.75" customHeight="1"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5.75" customHeight="1">
      <c r="D32" s="1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ht="15.75" customHeight="1">
      <c r="D33" s="1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 ht="15.75" customHeight="1">
      <c r="D34" s="1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5.75" customHeight="1">
      <c r="C35" s="52"/>
      <c r="D35" s="1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5.75" customHeight="1">
      <c r="C36" s="53"/>
      <c r="D36" s="1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5.75" customHeight="1">
      <c r="D37" s="1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5.75" customHeight="1">
      <c r="D38" s="1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5.75" customHeight="1">
      <c r="D39" s="1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5.75" customHeight="1">
      <c r="D40" s="1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5.75" customHeight="1">
      <c r="D41" s="1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5.75" customHeight="1">
      <c r="D42" s="1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5.75" customHeight="1">
      <c r="D43" s="1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5.75" customHeight="1">
      <c r="D44" s="1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5.75" customHeight="1">
      <c r="D45" s="1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5.75" customHeight="1">
      <c r="D46" s="1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5.75" customHeight="1">
      <c r="D47" s="1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5.75" customHeight="1">
      <c r="D48" s="1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5.75" customHeight="1">
      <c r="D49" s="1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5.75" customHeight="1">
      <c r="D50" s="1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5.75" customHeight="1">
      <c r="D51" s="1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5.75" customHeight="1">
      <c r="D52" s="1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5.75" customHeight="1">
      <c r="D53" s="1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5.75" customHeight="1">
      <c r="D54" s="1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5.75" customHeight="1">
      <c r="D55" s="1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5.75" customHeight="1">
      <c r="D56" s="1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5.75" customHeight="1">
      <c r="D57" s="1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</row>
    <row r="58" ht="15.75" customHeight="1">
      <c r="D58" s="1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</row>
    <row r="59" ht="15.75" customHeight="1">
      <c r="D59" s="1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</row>
    <row r="60" ht="15.75" customHeight="1">
      <c r="D60" s="1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</row>
    <row r="61" ht="15.75" customHeight="1">
      <c r="D61" s="1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</row>
    <row r="62" ht="15.75" customHeight="1">
      <c r="D62" s="1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</row>
    <row r="63" ht="15.75" customHeight="1">
      <c r="D63" s="1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</row>
    <row r="64" ht="15.75" customHeight="1">
      <c r="D64" s="1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</row>
    <row r="65" ht="15.75" customHeight="1">
      <c r="D65" s="1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</row>
    <row r="66" ht="15.75" customHeight="1">
      <c r="D66" s="1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</row>
    <row r="67" ht="15.75" customHeight="1">
      <c r="D67" s="1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</row>
    <row r="68" ht="15.75" customHeight="1">
      <c r="D68" s="1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</row>
    <row r="69" ht="15.75" customHeight="1">
      <c r="D69" s="1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</row>
    <row r="70" ht="15.75" customHeight="1">
      <c r="D70" s="1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</row>
    <row r="71" ht="15.75" customHeight="1">
      <c r="D71" s="1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</row>
    <row r="72" ht="15.75" customHeight="1">
      <c r="D72" s="1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</row>
    <row r="73" ht="15.75" customHeight="1">
      <c r="D73" s="1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</row>
    <row r="74" ht="15.75" customHeight="1">
      <c r="D74" s="1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</row>
    <row r="75" ht="15.75" customHeight="1">
      <c r="D75" s="1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ht="15.75" customHeight="1">
      <c r="D76" s="1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</row>
    <row r="77" ht="15.75" customHeight="1">
      <c r="D77" s="1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</row>
    <row r="78" ht="15.75" customHeight="1">
      <c r="D78" s="1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</row>
    <row r="79" ht="15.75" customHeight="1">
      <c r="D79" s="1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</row>
    <row r="80" ht="15.75" customHeight="1">
      <c r="D80" s="1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</row>
    <row r="81" ht="15.75" customHeight="1">
      <c r="D81" s="1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</row>
    <row r="82" ht="15.75" customHeight="1">
      <c r="D82" s="1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</row>
    <row r="83" ht="15.75" customHeight="1">
      <c r="D83" s="1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</row>
    <row r="84" ht="15.75" customHeight="1">
      <c r="D84" s="1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</row>
    <row r="85" ht="15.75" customHeight="1">
      <c r="D85" s="1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</row>
    <row r="86" ht="15.75" customHeight="1">
      <c r="D86" s="1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5.75" customHeight="1">
      <c r="D87" s="1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 ht="15.75" customHeight="1">
      <c r="D88" s="1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</row>
    <row r="89" ht="15.75" customHeight="1">
      <c r="D89" s="1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</row>
    <row r="90" ht="15.75" customHeight="1">
      <c r="D90" s="1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 ht="15.75" customHeight="1">
      <c r="D91" s="1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</row>
    <row r="92" ht="15.75" customHeight="1">
      <c r="D92" s="1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</row>
    <row r="93" ht="15.75" customHeight="1">
      <c r="D93" s="1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</row>
    <row r="94" ht="15.75" customHeight="1">
      <c r="D94" s="1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</row>
    <row r="95" ht="15.75" customHeight="1">
      <c r="D95" s="1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</row>
    <row r="96" ht="15.75" customHeight="1">
      <c r="D96" s="1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</row>
    <row r="97" ht="15.75" customHeight="1">
      <c r="D97" s="1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</row>
    <row r="98" ht="15.75" customHeight="1">
      <c r="D98" s="1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</row>
    <row r="99" ht="15.75" customHeight="1">
      <c r="D99" s="1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5.75" customHeight="1">
      <c r="D100" s="1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</row>
    <row r="101" ht="15.75" customHeight="1">
      <c r="D101" s="1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5.75" customHeight="1">
      <c r="D102" s="1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</row>
    <row r="103" ht="15.75" customHeight="1">
      <c r="D103" s="1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</row>
    <row r="104" ht="15.75" customHeight="1">
      <c r="D104" s="1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</row>
    <row r="105" ht="15.75" customHeight="1">
      <c r="D105" s="1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5.75" customHeight="1">
      <c r="D106" s="1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5.75" customHeight="1">
      <c r="D107" s="1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5.75" customHeight="1">
      <c r="D108" s="1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5.75" customHeight="1">
      <c r="D109" s="1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5.75" customHeight="1">
      <c r="D110" s="1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5.75" customHeight="1">
      <c r="D111" s="1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5.75" customHeight="1">
      <c r="D112" s="1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</row>
    <row r="113" ht="15.75" customHeight="1">
      <c r="D113" s="1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</row>
    <row r="114" ht="15.75" customHeight="1">
      <c r="D114" s="1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</row>
    <row r="115" ht="15.75" customHeight="1">
      <c r="D115" s="1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</row>
    <row r="116" ht="15.75" customHeight="1">
      <c r="D116" s="1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</row>
    <row r="117" ht="15.75" customHeight="1">
      <c r="D117" s="1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ht="15.75" customHeight="1">
      <c r="D118" s="1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</row>
    <row r="119" ht="15.75" customHeight="1">
      <c r="D119" s="1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</row>
    <row r="120" ht="15.75" customHeight="1">
      <c r="D120" s="1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</row>
    <row r="121" ht="15.75" customHeight="1">
      <c r="D121" s="1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ht="15.75" customHeight="1">
      <c r="D122" s="1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</row>
    <row r="123" ht="15.75" customHeight="1">
      <c r="D123" s="1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5.75" customHeight="1">
      <c r="D124" s="1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</row>
    <row r="125" ht="15.75" customHeight="1">
      <c r="D125" s="1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</row>
    <row r="126" ht="15.75" customHeight="1">
      <c r="D126" s="1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5.75" customHeight="1">
      <c r="D127" s="1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5.75" customHeight="1">
      <c r="D128" s="1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5.75" customHeight="1">
      <c r="D129" s="1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5.75" customHeight="1">
      <c r="D130" s="1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5.75" customHeight="1">
      <c r="D131" s="1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5.75" customHeight="1">
      <c r="D132" s="1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 ht="15.75" customHeight="1">
      <c r="D133" s="1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5.75" customHeight="1">
      <c r="D134" s="1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5.75" customHeight="1">
      <c r="D135" s="1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5.75" customHeight="1">
      <c r="D136" s="1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5.75" customHeight="1">
      <c r="D137" s="1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5.75" customHeight="1">
      <c r="D138" s="1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 ht="15.75" customHeight="1">
      <c r="D139" s="1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</row>
    <row r="140" ht="15.75" customHeight="1">
      <c r="D140" s="1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</row>
    <row r="141" ht="15.75" customHeight="1">
      <c r="D141" s="1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</row>
    <row r="142" ht="15.75" customHeight="1">
      <c r="D142" s="1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</row>
    <row r="143" ht="15.75" customHeight="1">
      <c r="D143" s="1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5.75" customHeight="1">
      <c r="D144" s="1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</row>
    <row r="145" ht="15.75" customHeight="1">
      <c r="D145" s="1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</row>
    <row r="146" ht="15.75" customHeight="1">
      <c r="D146" s="1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 ht="15.75" customHeight="1">
      <c r="D147" s="1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ht="15.75" customHeight="1">
      <c r="D148" s="1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 ht="15.75" customHeight="1">
      <c r="D149" s="1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5.75" customHeight="1">
      <c r="D150" s="1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</row>
    <row r="151" ht="15.75" customHeight="1">
      <c r="D151" s="1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</row>
    <row r="152" ht="15.75" customHeight="1">
      <c r="D152" s="1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5.75" customHeight="1">
      <c r="D153" s="1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5.75" customHeight="1">
      <c r="D154" s="1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5.75" customHeight="1">
      <c r="D155" s="1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5.75" customHeight="1">
      <c r="D156" s="1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5.75" customHeight="1">
      <c r="D157" s="1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</row>
    <row r="158" ht="15.75" customHeight="1">
      <c r="D158" s="1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5.75" customHeight="1">
      <c r="D159" s="1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5.75" customHeight="1">
      <c r="D160" s="1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5.75" customHeight="1">
      <c r="D161" s="1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5.75" customHeight="1">
      <c r="D162" s="1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</row>
    <row r="163" ht="15.75" customHeight="1">
      <c r="D163" s="1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5.75" customHeight="1">
      <c r="D164" s="1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5.75" customHeight="1">
      <c r="D165" s="1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5.75" customHeight="1">
      <c r="D166" s="1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5.75" customHeight="1">
      <c r="D167" s="1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5.75" customHeight="1">
      <c r="D168" s="1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5.75" customHeight="1">
      <c r="D169" s="1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</row>
    <row r="170" ht="15.75" customHeight="1">
      <c r="D170" s="1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</row>
    <row r="171" ht="15.75" customHeight="1">
      <c r="D171" s="1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</row>
    <row r="172" ht="15.75" customHeight="1">
      <c r="D172" s="1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</row>
    <row r="173" ht="15.75" customHeight="1">
      <c r="D173" s="1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</row>
    <row r="174" ht="15.75" customHeight="1">
      <c r="D174" s="1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</row>
    <row r="175" ht="15.75" customHeight="1">
      <c r="D175" s="1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</row>
    <row r="176" ht="15.75" customHeight="1">
      <c r="D176" s="1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</row>
    <row r="177" ht="15.75" customHeight="1">
      <c r="D177" s="1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</row>
    <row r="178" ht="15.75" customHeight="1">
      <c r="D178" s="1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</row>
    <row r="179" ht="15.75" customHeight="1">
      <c r="D179" s="1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</row>
    <row r="180" ht="15.75" customHeight="1">
      <c r="D180" s="1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</row>
    <row r="181" ht="15.75" customHeight="1">
      <c r="D181" s="1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</row>
    <row r="182" ht="15.75" customHeight="1">
      <c r="D182" s="1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</row>
    <row r="183" ht="15.75" customHeight="1">
      <c r="D183" s="1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</row>
    <row r="184" ht="15.75" customHeight="1">
      <c r="D184" s="1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</row>
    <row r="185" ht="15.75" customHeight="1">
      <c r="D185" s="1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</row>
    <row r="186" ht="15.75" customHeight="1">
      <c r="D186" s="1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</row>
    <row r="187" ht="15.75" customHeight="1">
      <c r="D187" s="1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</row>
    <row r="188" ht="15.75" customHeight="1">
      <c r="D188" s="1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</row>
    <row r="189" ht="15.75" customHeight="1">
      <c r="D189" s="1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</row>
    <row r="190" ht="15.75" customHeight="1">
      <c r="D190" s="1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</row>
    <row r="191" ht="15.75" customHeight="1">
      <c r="D191" s="1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</row>
    <row r="192" ht="15.75" customHeight="1">
      <c r="D192" s="1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</row>
    <row r="193" ht="15.75" customHeight="1">
      <c r="D193" s="1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</row>
    <row r="194" ht="15.75" customHeight="1">
      <c r="D194" s="1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</row>
    <row r="195" ht="15.75" customHeight="1">
      <c r="D195" s="1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</row>
    <row r="196" ht="15.75" customHeight="1">
      <c r="D196" s="1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</row>
    <row r="197" ht="15.75" customHeight="1">
      <c r="D197" s="1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</row>
    <row r="198" ht="15.75" customHeight="1">
      <c r="D198" s="1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</row>
    <row r="199" ht="15.75" customHeight="1">
      <c r="D199" s="1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</row>
    <row r="200" ht="15.75" customHeight="1">
      <c r="D200" s="1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</row>
    <row r="201" ht="15.75" customHeight="1">
      <c r="D201" s="1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</row>
    <row r="202" ht="15.75" customHeight="1">
      <c r="D202" s="1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</row>
    <row r="203" ht="15.75" customHeight="1">
      <c r="D203" s="1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</row>
    <row r="204" ht="15.75" customHeight="1">
      <c r="D204" s="1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</row>
    <row r="205" ht="15.75" customHeight="1">
      <c r="D205" s="1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</row>
    <row r="206" ht="15.75" customHeight="1">
      <c r="D206" s="1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</row>
    <row r="207" ht="15.75" customHeight="1">
      <c r="D207" s="1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</row>
    <row r="208" ht="15.75" customHeight="1">
      <c r="D208" s="1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</row>
    <row r="209" ht="15.75" customHeight="1">
      <c r="D209" s="1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</row>
    <row r="210" ht="15.75" customHeight="1">
      <c r="D210" s="1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</row>
    <row r="211" ht="15.75" customHeight="1">
      <c r="D211" s="1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</row>
    <row r="212" ht="15.75" customHeight="1">
      <c r="D212" s="1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</row>
    <row r="213" ht="15.75" customHeight="1">
      <c r="D213" s="1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</row>
    <row r="214" ht="15.75" customHeight="1">
      <c r="D214" s="1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</row>
    <row r="215" ht="15.75" customHeight="1">
      <c r="D215" s="1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</row>
    <row r="216" ht="15.75" customHeight="1">
      <c r="D216" s="1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</row>
    <row r="217" ht="15.75" customHeight="1">
      <c r="D217" s="1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</row>
    <row r="218" ht="15.75" customHeight="1">
      <c r="D218" s="1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</row>
    <row r="219" ht="15.75" customHeight="1">
      <c r="D219" s="1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</row>
    <row r="220" ht="15.75" customHeight="1">
      <c r="D220" s="1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N1:O12">
    <cfRule type="cellIs" dxfId="0" priority="1" operator="greaterThan">
      <formula>0</formula>
    </cfRule>
  </conditionalFormatting>
  <conditionalFormatting sqref="N1:O12">
    <cfRule type="cellIs" dxfId="1" priority="2" operator="lessThan">
      <formula>0</formula>
    </cfRule>
  </conditionalFormatting>
  <conditionalFormatting sqref="T1:AE12">
    <cfRule type="cellIs" dxfId="2" priority="3" operator="greaterThan">
      <formula>0</formula>
    </cfRule>
  </conditionalFormatting>
  <conditionalFormatting sqref="T1:AE12">
    <cfRule type="cellIs" dxfId="1" priority="4" operator="lessThan">
      <formula>0</formula>
    </cfRule>
  </conditionalFormatting>
  <conditionalFormatting sqref="T1:AE12">
    <cfRule type="cellIs" dxfId="3" priority="5" operator="equal">
      <formula>0</formula>
    </cfRule>
  </conditionalFormatting>
  <conditionalFormatting sqref="T3:AE11">
    <cfRule type="cellIs" dxfId="4" priority="6" operator="equal">
      <formula>"""NA"""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6.63"/>
    <col customWidth="1" min="4" max="6" width="12.63"/>
    <col customWidth="1" min="11" max="11" width="4.63"/>
    <col customWidth="1" min="17" max="17" width="4.63"/>
    <col customWidth="1" min="23" max="23" width="18.38"/>
  </cols>
  <sheetData>
    <row r="1">
      <c r="A1" s="1"/>
      <c r="B1" s="1" t="s">
        <v>0</v>
      </c>
      <c r="C1" s="1" t="s">
        <v>1</v>
      </c>
      <c r="D1" s="2" t="s">
        <v>2</v>
      </c>
      <c r="E1" s="3" t="s">
        <v>37</v>
      </c>
      <c r="F1" s="3" t="s">
        <v>3</v>
      </c>
      <c r="G1" s="4" t="s">
        <v>4</v>
      </c>
      <c r="H1" s="3" t="s">
        <v>5</v>
      </c>
      <c r="I1" s="1" t="s">
        <v>6</v>
      </c>
      <c r="J1" s="1" t="s">
        <v>7</v>
      </c>
      <c r="K1" s="1"/>
      <c r="L1" s="3" t="s">
        <v>8</v>
      </c>
      <c r="M1" s="5" t="s">
        <v>9</v>
      </c>
      <c r="N1" s="1" t="s">
        <v>38</v>
      </c>
      <c r="O1" s="2" t="s">
        <v>11</v>
      </c>
      <c r="P1" s="1" t="s">
        <v>12</v>
      </c>
      <c r="Q1" s="1"/>
      <c r="R1" s="1" t="s">
        <v>13</v>
      </c>
      <c r="S1" s="5" t="s">
        <v>14</v>
      </c>
      <c r="T1" s="3" t="s">
        <v>15</v>
      </c>
      <c r="U1" s="1" t="s">
        <v>16</v>
      </c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2" ht="15.75" customHeight="1">
      <c r="A2" s="6" t="s">
        <v>17</v>
      </c>
      <c r="B2" s="7"/>
      <c r="C2" s="7"/>
      <c r="D2" s="8"/>
      <c r="E2" s="9"/>
      <c r="F2" s="9"/>
      <c r="G2" s="10"/>
      <c r="H2" s="11"/>
      <c r="I2" s="8"/>
      <c r="J2" s="8"/>
      <c r="K2" s="7"/>
      <c r="L2" s="9"/>
      <c r="M2" s="12"/>
      <c r="N2" s="13"/>
      <c r="O2" s="13"/>
      <c r="P2" s="7"/>
      <c r="Q2" s="7"/>
      <c r="R2" s="7"/>
      <c r="S2" s="14"/>
      <c r="T2" s="15"/>
      <c r="U2" s="16"/>
      <c r="V2" s="16"/>
      <c r="W2" s="55" t="s">
        <v>39</v>
      </c>
      <c r="X2" s="56">
        <v>11.0</v>
      </c>
      <c r="AA2" s="16"/>
      <c r="AB2" s="16"/>
      <c r="AC2" s="16"/>
      <c r="AD2" s="16"/>
      <c r="AE2" s="16"/>
      <c r="AF2" s="16"/>
    </row>
    <row r="3" ht="15.75" customHeight="1">
      <c r="A3" s="57" t="str">
        <f>OFFSET('Sector Holdings'!$A$1:$H$18, MATCH("Fixed Income", 'Sector Holdings'!$A$1:$A$130, 0), 0, $X$2+2,3)</f>
        <v>#REF!</v>
      </c>
      <c r="B3" s="23" t="s">
        <v>22</v>
      </c>
      <c r="C3" s="18" t="s">
        <v>40</v>
      </c>
      <c r="D3" s="58">
        <v>0.0225</v>
      </c>
      <c r="E3" s="27"/>
      <c r="F3" s="20" t="str">
        <f>OFFSET('Sector Holdings'!$A$1:$H$18, MATCH("Fixed Income", 'Sector Holdings'!$A$1:$A$130, 0), 5, $X$2+2,8)</f>
        <v>#REF!</v>
      </c>
      <c r="G3" s="21">
        <v>25.0</v>
      </c>
      <c r="H3" s="11">
        <v>22847.5</v>
      </c>
      <c r="I3" s="19">
        <v>0.008329295734795778</v>
      </c>
      <c r="J3" s="22">
        <v>0.015</v>
      </c>
      <c r="K3" s="23"/>
      <c r="L3" s="24">
        <v>1007.19</v>
      </c>
      <c r="M3" s="25">
        <v>43864.0</v>
      </c>
      <c r="N3" s="59">
        <f>ROUNDDOWN(DATEDIF(M3,TODAY(),"M")/6,0)*(D3*1000)</f>
        <v>270</v>
      </c>
      <c r="O3" s="22" t="str">
        <f>OFFSET('Sector Holdings'!$A$1:$H$18, MATCH("Fixed Income", 'Sector Holdings'!$A$1:$A$130, 0), 13, $X$2+2,1)</f>
        <v>#REF!</v>
      </c>
      <c r="R3" s="22" t="str">
        <f>OFFSET('Sector Holdings'!$A$1:$H$18, MATCH("Fixed Income", 'Sector Holdings'!$A$1:$A$130, 0), 18, $X$2+2)</f>
        <v>#REF!</v>
      </c>
      <c r="S3" s="28">
        <v>44292.0</v>
      </c>
      <c r="T3" s="29">
        <v>1000.0</v>
      </c>
      <c r="U3" s="30">
        <v>-0.08610000000000007</v>
      </c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ht="15.75" customHeight="1">
      <c r="A4" s="17"/>
      <c r="B4" s="23" t="s">
        <v>23</v>
      </c>
      <c r="C4" s="18" t="s">
        <v>41</v>
      </c>
      <c r="D4" s="58">
        <v>0.073</v>
      </c>
      <c r="E4" s="18"/>
      <c r="F4" s="24">
        <v>1058.6</v>
      </c>
      <c r="G4" s="21">
        <v>25.0</v>
      </c>
      <c r="H4" s="11">
        <v>26464.999999999996</v>
      </c>
      <c r="I4" s="19">
        <v>0.009648093297794955</v>
      </c>
      <c r="J4" s="22">
        <v>0.015</v>
      </c>
      <c r="K4" s="23"/>
      <c r="L4" s="24">
        <v>1092.5</v>
      </c>
      <c r="M4" s="25">
        <v>44823.0</v>
      </c>
      <c r="N4" s="59">
        <f t="shared" ref="N4:N7" si="1">ROUND(DATEDIF(M4,TODAY(),"M")/6,0)*(D4*1000)</f>
        <v>511</v>
      </c>
      <c r="O4" s="22">
        <v>-0.031029748283752934</v>
      </c>
      <c r="R4" s="60" t="s">
        <v>21</v>
      </c>
      <c r="S4" s="28"/>
      <c r="T4" s="29">
        <v>1000.0</v>
      </c>
      <c r="U4" s="30">
        <v>0.058599999999999985</v>
      </c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ht="15.75" customHeight="1">
      <c r="A5" s="17"/>
      <c r="B5" s="18" t="s">
        <v>24</v>
      </c>
      <c r="C5" s="18" t="s">
        <v>42</v>
      </c>
      <c r="D5" s="58">
        <v>0.04448</v>
      </c>
      <c r="E5" s="18"/>
      <c r="F5" s="24">
        <v>992.2</v>
      </c>
      <c r="G5" s="21">
        <v>29.0</v>
      </c>
      <c r="H5" s="11">
        <v>28773.800000000003</v>
      </c>
      <c r="I5" s="19">
        <v>0.010489790550995373</v>
      </c>
      <c r="J5" s="22">
        <v>0.015</v>
      </c>
      <c r="K5" s="23"/>
      <c r="L5" s="24">
        <v>907.92</v>
      </c>
      <c r="M5" s="25">
        <v>44830.0</v>
      </c>
      <c r="N5" s="59">
        <f t="shared" si="1"/>
        <v>311.36</v>
      </c>
      <c r="O5" s="22">
        <v>0.09282756189972696</v>
      </c>
      <c r="R5" s="60" t="s">
        <v>21</v>
      </c>
      <c r="S5" s="31">
        <v>44824.0</v>
      </c>
      <c r="T5" s="32">
        <v>1000.0</v>
      </c>
      <c r="U5" s="30">
        <v>-0.007799999999999918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 ht="15.75" customHeight="1">
      <c r="A6" s="17"/>
      <c r="B6" s="23" t="s">
        <v>43</v>
      </c>
      <c r="C6" s="18" t="s">
        <v>44</v>
      </c>
      <c r="D6" s="58">
        <v>0.0425</v>
      </c>
      <c r="E6" s="18"/>
      <c r="F6" s="18">
        <v>909.4</v>
      </c>
      <c r="G6" s="21">
        <v>33.0</v>
      </c>
      <c r="H6" s="11">
        <v>30010.2</v>
      </c>
      <c r="I6" s="19">
        <v>0.010940533137558519</v>
      </c>
      <c r="J6" s="22">
        <v>0.015</v>
      </c>
      <c r="K6" s="23"/>
      <c r="L6" s="18">
        <v>854.34</v>
      </c>
      <c r="M6" s="25">
        <v>45230.0</v>
      </c>
      <c r="N6" s="59">
        <f t="shared" si="1"/>
        <v>212.5</v>
      </c>
      <c r="O6" s="22">
        <v>0.06444740969637364</v>
      </c>
      <c r="R6" s="60" t="s">
        <v>21</v>
      </c>
      <c r="S6" s="28">
        <v>45230.0</v>
      </c>
      <c r="T6" s="29">
        <v>1000.0</v>
      </c>
      <c r="U6" s="30">
        <v>-0.09060000000000001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 ht="15.75" customHeight="1">
      <c r="A7" s="17"/>
      <c r="B7" s="23" t="s">
        <v>45</v>
      </c>
      <c r="C7" s="18" t="s">
        <v>46</v>
      </c>
      <c r="D7" s="58">
        <v>0.035</v>
      </c>
      <c r="E7" s="18"/>
      <c r="F7" s="18">
        <v>996.9</v>
      </c>
      <c r="G7" s="21">
        <v>43.0</v>
      </c>
      <c r="H7" s="11">
        <v>42866.7</v>
      </c>
      <c r="I7" s="19">
        <v>0.0156275050432113</v>
      </c>
      <c r="J7" s="22">
        <v>0.02</v>
      </c>
      <c r="K7" s="23"/>
      <c r="L7" s="18">
        <v>948.61</v>
      </c>
      <c r="M7" s="25">
        <v>45261.0</v>
      </c>
      <c r="N7" s="59">
        <f t="shared" si="1"/>
        <v>140</v>
      </c>
      <c r="O7" s="22">
        <v>0.05090606255468533</v>
      </c>
      <c r="R7" s="60" t="s">
        <v>25</v>
      </c>
      <c r="S7" s="28">
        <v>45261.0</v>
      </c>
      <c r="T7" s="29">
        <v>1000.0</v>
      </c>
      <c r="U7" s="30">
        <v>-0.0030999999999999917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8" ht="15.75" customHeight="1">
      <c r="A8" s="17"/>
      <c r="B8" s="23" t="s">
        <v>47</v>
      </c>
      <c r="C8" s="18" t="s">
        <v>48</v>
      </c>
      <c r="D8" s="58">
        <v>0.0525</v>
      </c>
      <c r="E8" s="18"/>
      <c r="F8" s="18">
        <v>992.9</v>
      </c>
      <c r="G8" s="21">
        <v>22.0</v>
      </c>
      <c r="H8" s="11">
        <v>21843.8</v>
      </c>
      <c r="I8" s="19">
        <v>0.007963386373639655</v>
      </c>
      <c r="J8" s="22">
        <v>0.0094</v>
      </c>
      <c r="K8" s="23"/>
      <c r="L8" s="18">
        <v>961.68</v>
      </c>
      <c r="M8" s="25">
        <v>45359.0</v>
      </c>
      <c r="N8" s="59">
        <f>100*4.777%</f>
        <v>4.777</v>
      </c>
      <c r="O8" s="22">
        <v>0.03246402129606518</v>
      </c>
      <c r="R8" s="60" t="s">
        <v>27</v>
      </c>
      <c r="S8" s="28">
        <v>45356.0</v>
      </c>
      <c r="T8" s="29">
        <v>956.4</v>
      </c>
      <c r="U8" s="30">
        <v>0.03816394813885404</v>
      </c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 ht="15.75" customHeight="1">
      <c r="A9" s="33"/>
      <c r="B9" s="23" t="s">
        <v>49</v>
      </c>
      <c r="C9" s="18" t="s">
        <v>50</v>
      </c>
      <c r="D9" s="58">
        <v>0.029</v>
      </c>
      <c r="E9" s="18"/>
      <c r="F9" s="24">
        <v>993.8</v>
      </c>
      <c r="G9" s="21">
        <v>47.0</v>
      </c>
      <c r="H9" s="11">
        <v>46708.6</v>
      </c>
      <c r="I9" s="19">
        <v>0.017028109979572475</v>
      </c>
      <c r="J9" s="22">
        <v>0.02</v>
      </c>
      <c r="K9" s="23"/>
      <c r="L9" s="24">
        <v>1038.1</v>
      </c>
      <c r="M9" s="25">
        <v>45561.0</v>
      </c>
      <c r="N9" s="61">
        <f t="shared" ref="N9:N13" si="2">ROUND(DATEDIF(M9,TODAY(),"M")/6,0)*(D9*1000)</f>
        <v>87</v>
      </c>
      <c r="O9" s="34">
        <v>-0.04267411617377903</v>
      </c>
      <c r="P9" s="23"/>
      <c r="Q9" s="23"/>
      <c r="R9" s="60" t="s">
        <v>25</v>
      </c>
      <c r="S9" s="31">
        <v>45552.0</v>
      </c>
      <c r="T9" s="29">
        <v>1040.0</v>
      </c>
      <c r="U9" s="30">
        <v>-0.04442307692307701</v>
      </c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 ht="15.75" customHeight="1">
      <c r="A10" s="17"/>
      <c r="B10" s="23" t="s">
        <v>51</v>
      </c>
      <c r="C10" s="18" t="s">
        <v>52</v>
      </c>
      <c r="D10" s="58">
        <v>0.0532</v>
      </c>
      <c r="E10" s="18"/>
      <c r="F10" s="24">
        <v>1105.4</v>
      </c>
      <c r="G10" s="21">
        <v>43.0</v>
      </c>
      <c r="H10" s="11">
        <v>47532.200000000004</v>
      </c>
      <c r="I10" s="19">
        <v>0.017328361996956337</v>
      </c>
      <c r="J10" s="22">
        <v>0.02</v>
      </c>
      <c r="K10" s="23"/>
      <c r="L10" s="24">
        <v>1120.55</v>
      </c>
      <c r="M10" s="25">
        <v>45590.0</v>
      </c>
      <c r="N10" s="61">
        <f t="shared" si="2"/>
        <v>159.6</v>
      </c>
      <c r="O10" s="22">
        <v>-0.013520146356699736</v>
      </c>
      <c r="R10" s="60" t="s">
        <v>25</v>
      </c>
      <c r="S10" s="62">
        <v>45590.0</v>
      </c>
      <c r="T10" s="37">
        <v>1120.0</v>
      </c>
      <c r="U10" s="38">
        <v>-0.01303571428571415</v>
      </c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ht="15.75" customHeight="1">
      <c r="A11" s="17"/>
      <c r="B11" s="23" t="s">
        <v>53</v>
      </c>
      <c r="C11" s="18" t="s">
        <v>54</v>
      </c>
      <c r="D11" s="58">
        <v>0.06375</v>
      </c>
      <c r="E11" s="18"/>
      <c r="F11" s="24">
        <v>964.2</v>
      </c>
      <c r="G11" s="21">
        <v>25.0</v>
      </c>
      <c r="H11" s="11">
        <v>24105.0</v>
      </c>
      <c r="I11" s="19">
        <v>0.008787730547642073</v>
      </c>
      <c r="J11" s="22">
        <v>0.01</v>
      </c>
      <c r="K11" s="23"/>
      <c r="L11" s="24">
        <v>966.6</v>
      </c>
      <c r="M11" s="25">
        <v>45611.0</v>
      </c>
      <c r="N11" s="61">
        <f t="shared" si="2"/>
        <v>191.25</v>
      </c>
      <c r="O11" s="22">
        <v>-0.0024829298572315306</v>
      </c>
      <c r="R11" s="23" t="s">
        <v>31</v>
      </c>
      <c r="S11" s="28">
        <v>45610.0</v>
      </c>
      <c r="T11" s="29">
        <v>966.0</v>
      </c>
      <c r="U11" s="30">
        <v>-0.0018633540372670065</v>
      </c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 ht="15.75" customHeight="1">
      <c r="A12" s="17"/>
      <c r="B12" s="23" t="s">
        <v>55</v>
      </c>
      <c r="C12" s="18" t="s">
        <v>56</v>
      </c>
      <c r="D12" s="58">
        <v>0.06</v>
      </c>
      <c r="E12" s="18"/>
      <c r="F12" s="18">
        <v>1006.5</v>
      </c>
      <c r="G12" s="21">
        <v>33.0</v>
      </c>
      <c r="H12" s="11">
        <v>33214.5</v>
      </c>
      <c r="I12" s="19">
        <v>0.012108694307183473</v>
      </c>
      <c r="J12" s="22">
        <v>0.0125</v>
      </c>
      <c r="K12" s="23"/>
      <c r="L12" s="18">
        <v>993.26</v>
      </c>
      <c r="M12" s="25">
        <v>45701.0</v>
      </c>
      <c r="N12" s="61">
        <f t="shared" si="2"/>
        <v>120</v>
      </c>
      <c r="O12" s="22">
        <v>0.013329843142782405</v>
      </c>
      <c r="R12" s="23" t="s">
        <v>33</v>
      </c>
      <c r="S12" s="28">
        <v>45700.0</v>
      </c>
      <c r="T12" s="29">
        <v>1000.0</v>
      </c>
      <c r="U12" s="30">
        <v>0.00649999999999995</v>
      </c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</row>
    <row r="13" ht="15.75" customHeight="1">
      <c r="A13" s="17"/>
      <c r="B13" s="23" t="s">
        <v>57</v>
      </c>
      <c r="C13" s="18" t="s">
        <v>58</v>
      </c>
      <c r="D13" s="19"/>
      <c r="E13" s="18"/>
      <c r="F13" s="24">
        <v>1008.94</v>
      </c>
      <c r="G13" s="21">
        <v>24.0</v>
      </c>
      <c r="H13" s="11">
        <v>24214.56</v>
      </c>
      <c r="I13" s="19">
        <v>0.008827671794636458</v>
      </c>
      <c r="J13" s="22">
        <v>0.01</v>
      </c>
      <c r="K13" s="23"/>
      <c r="L13" s="24">
        <v>1003.1</v>
      </c>
      <c r="M13" s="25">
        <v>45748.0</v>
      </c>
      <c r="N13" s="61">
        <f t="shared" si="2"/>
        <v>0</v>
      </c>
      <c r="O13" s="22">
        <v>0.005821951948958182</v>
      </c>
      <c r="R13" s="23" t="s">
        <v>34</v>
      </c>
      <c r="S13" s="28">
        <v>45741.0</v>
      </c>
      <c r="T13" s="29">
        <v>1000.0</v>
      </c>
      <c r="U13" s="30">
        <v>0.008939999999999948</v>
      </c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 ht="15.75" customHeight="1">
      <c r="A14" s="6"/>
      <c r="B14" s="40" t="s">
        <v>29</v>
      </c>
      <c r="C14" s="40" t="s">
        <v>59</v>
      </c>
      <c r="D14" s="41"/>
      <c r="E14" s="42"/>
      <c r="F14" s="42">
        <v>100.44</v>
      </c>
      <c r="G14" s="43">
        <v>0.0</v>
      </c>
      <c r="H14" s="42">
        <v>0.0</v>
      </c>
      <c r="I14" s="41">
        <v>0.0</v>
      </c>
      <c r="J14" s="41">
        <v>0.0</v>
      </c>
      <c r="K14" s="40"/>
      <c r="L14" s="42">
        <v>105.59</v>
      </c>
      <c r="M14" s="44">
        <v>44113.0</v>
      </c>
      <c r="N14" s="45"/>
      <c r="O14" s="45">
        <v>-0.04877355810209305</v>
      </c>
      <c r="P14" s="40"/>
      <c r="Q14" s="40"/>
      <c r="R14" s="40" t="s">
        <v>36</v>
      </c>
      <c r="S14" s="46" t="s">
        <v>36</v>
      </c>
      <c r="T14" s="47" t="s">
        <v>36</v>
      </c>
      <c r="U14" s="48" t="s">
        <v>36</v>
      </c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</row>
    <row r="15" ht="15.75" customHeight="1">
      <c r="A15" s="6"/>
      <c r="B15" s="40" t="s">
        <v>30</v>
      </c>
      <c r="C15" s="40"/>
      <c r="D15" s="41"/>
      <c r="E15" s="42"/>
      <c r="F15" s="42"/>
      <c r="G15" s="43"/>
      <c r="H15" s="42">
        <v>38148.02</v>
      </c>
      <c r="I15" s="41">
        <v>0.013907260762748836</v>
      </c>
      <c r="J15" s="41"/>
      <c r="K15" s="40"/>
      <c r="L15" s="42"/>
      <c r="M15" s="44"/>
      <c r="N15" s="45"/>
      <c r="O15" s="45"/>
      <c r="P15" s="40"/>
      <c r="Q15" s="40"/>
      <c r="R15" s="40"/>
      <c r="S15" s="46"/>
      <c r="T15" s="47"/>
      <c r="U15" s="48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</row>
    <row r="16" ht="15.75" customHeight="1">
      <c r="A16" s="64"/>
      <c r="B16" s="7"/>
      <c r="C16" s="7"/>
      <c r="D16" s="8"/>
      <c r="E16" s="9"/>
      <c r="F16" s="9"/>
      <c r="G16" s="10"/>
      <c r="H16" s="9"/>
      <c r="I16" s="8"/>
      <c r="J16" s="8"/>
      <c r="K16" s="7"/>
      <c r="L16" s="9"/>
      <c r="M16" s="12"/>
      <c r="N16" s="13"/>
      <c r="O16" s="13"/>
      <c r="P16" s="7"/>
      <c r="Q16" s="7"/>
      <c r="R16" s="7"/>
      <c r="S16" s="14"/>
      <c r="T16" s="15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>
      <c r="D17" s="1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</row>
    <row r="18">
      <c r="D18" s="1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</row>
    <row r="19">
      <c r="D19" s="1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</row>
    <row r="20">
      <c r="D20" s="1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</row>
    <row r="21" ht="15.75" customHeight="1">
      <c r="D21" s="1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</row>
    <row r="22" ht="15.75" customHeight="1">
      <c r="D22" s="1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ht="15.75" customHeight="1">
      <c r="D23" s="1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</row>
    <row r="24" ht="15.75" customHeight="1">
      <c r="D24" s="1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</row>
    <row r="25" ht="15.75" customHeight="1">
      <c r="D25" s="1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</row>
    <row r="26" ht="15.75" customHeight="1">
      <c r="D26" s="1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</row>
    <row r="27" ht="15.75" customHeight="1">
      <c r="D27" s="1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</row>
    <row r="28" ht="15.75" customHeight="1">
      <c r="D28" s="1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</row>
    <row r="29" ht="15.75" customHeight="1">
      <c r="D29" s="1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</row>
    <row r="30" ht="15.75" customHeight="1">
      <c r="D30" s="1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</row>
    <row r="31" ht="15.75" customHeight="1">
      <c r="D31" s="1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</row>
    <row r="32" ht="15.75" customHeight="1">
      <c r="D32" s="1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</row>
    <row r="33" ht="15.75" customHeight="1">
      <c r="D33" s="1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</row>
    <row r="34" ht="15.75" customHeight="1">
      <c r="D34" s="27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</row>
    <row r="35" ht="15.75" customHeight="1"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</row>
    <row r="36" ht="15.75" customHeight="1">
      <c r="D36" s="1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</row>
    <row r="37" ht="15.75" customHeight="1">
      <c r="D37" s="1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</row>
    <row r="38" ht="15.75" customHeight="1">
      <c r="D38" s="1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</row>
    <row r="39" ht="15.75" customHeight="1">
      <c r="C39" s="52"/>
      <c r="D39" s="1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</row>
    <row r="40" ht="15.75" customHeight="1">
      <c r="C40" s="53"/>
      <c r="D40" s="1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</row>
    <row r="41" ht="15.75" customHeight="1">
      <c r="D41" s="1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</row>
    <row r="42" ht="15.75" customHeight="1">
      <c r="D42" s="1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</row>
    <row r="43" ht="15.75" customHeight="1">
      <c r="D43" s="1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</row>
    <row r="44" ht="15.75" customHeight="1">
      <c r="D44" s="1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</row>
    <row r="45" ht="15.75" customHeight="1">
      <c r="D45" s="1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</row>
    <row r="46" ht="15.75" customHeight="1">
      <c r="D46" s="1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</row>
    <row r="47" ht="15.75" customHeight="1">
      <c r="D47" s="1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</row>
    <row r="48" ht="15.75" customHeight="1">
      <c r="D48" s="1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</row>
    <row r="49" ht="15.75" customHeight="1">
      <c r="D49" s="1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</row>
    <row r="50" ht="15.75" customHeight="1">
      <c r="D50" s="1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</row>
    <row r="51" ht="15.75" customHeight="1">
      <c r="D51" s="1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</row>
    <row r="52" ht="15.75" customHeight="1">
      <c r="D52" s="1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</row>
    <row r="53" ht="15.75" customHeight="1">
      <c r="D53" s="1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</row>
    <row r="54" ht="15.75" customHeight="1">
      <c r="D54" s="1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</row>
    <row r="55" ht="15.75" customHeight="1">
      <c r="D55" s="1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</row>
    <row r="56" ht="15.75" customHeight="1">
      <c r="D56" s="1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</row>
    <row r="57" ht="15.75" customHeight="1">
      <c r="D57" s="1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</row>
    <row r="58" ht="15.75" customHeight="1">
      <c r="D58" s="1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</row>
    <row r="59" ht="15.75" customHeight="1">
      <c r="D59" s="1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</row>
    <row r="60" ht="15.75" customHeight="1">
      <c r="D60" s="1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</row>
    <row r="61" ht="15.75" customHeight="1">
      <c r="D61" s="1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</row>
    <row r="62" ht="15.75" customHeight="1">
      <c r="D62" s="1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</row>
    <row r="63" ht="15.75" customHeight="1">
      <c r="D63" s="1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</row>
    <row r="64" ht="15.75" customHeight="1">
      <c r="D64" s="1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</row>
    <row r="65" ht="15.75" customHeight="1">
      <c r="D65" s="1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</row>
    <row r="66" ht="15.75" customHeight="1">
      <c r="D66" s="1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</row>
    <row r="67" ht="15.75" customHeight="1">
      <c r="D67" s="1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</row>
    <row r="68" ht="15.75" customHeight="1">
      <c r="D68" s="1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</row>
    <row r="69" ht="15.75" customHeight="1">
      <c r="D69" s="1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</row>
    <row r="70" ht="15.75" customHeight="1">
      <c r="D70" s="1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</row>
    <row r="71" ht="15.75" customHeight="1">
      <c r="D71" s="1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</row>
    <row r="72" ht="15.75" customHeight="1">
      <c r="D72" s="1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</row>
    <row r="73" ht="15.75" customHeight="1">
      <c r="D73" s="1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</row>
    <row r="74" ht="15.75" customHeight="1">
      <c r="D74" s="1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</row>
    <row r="75" ht="15.75" customHeight="1">
      <c r="D75" s="1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</row>
    <row r="76" ht="15.75" customHeight="1">
      <c r="D76" s="1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</row>
    <row r="77" ht="15.75" customHeight="1">
      <c r="D77" s="1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</row>
    <row r="78" ht="15.75" customHeight="1">
      <c r="D78" s="1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</row>
    <row r="79" ht="15.75" customHeight="1">
      <c r="D79" s="1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</row>
    <row r="80" ht="15.75" customHeight="1">
      <c r="D80" s="1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</row>
    <row r="81" ht="15.75" customHeight="1">
      <c r="D81" s="1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</row>
    <row r="82" ht="15.75" customHeight="1">
      <c r="D82" s="1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</row>
    <row r="83" ht="15.75" customHeight="1">
      <c r="D83" s="1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</row>
    <row r="84" ht="15.75" customHeight="1">
      <c r="D84" s="1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</row>
    <row r="85" ht="15.75" customHeight="1">
      <c r="D85" s="1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</row>
    <row r="86" ht="15.75" customHeight="1">
      <c r="D86" s="1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</row>
    <row r="87" ht="15.75" customHeight="1">
      <c r="D87" s="1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</row>
    <row r="88" ht="15.75" customHeight="1">
      <c r="D88" s="1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</row>
    <row r="89" ht="15.75" customHeight="1">
      <c r="D89" s="1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</row>
    <row r="90" ht="15.75" customHeight="1">
      <c r="D90" s="1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</row>
    <row r="91" ht="15.75" customHeight="1">
      <c r="D91" s="1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</row>
    <row r="92" ht="15.75" customHeight="1">
      <c r="D92" s="1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</row>
    <row r="93" ht="15.75" customHeight="1">
      <c r="D93" s="1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</row>
    <row r="94" ht="15.75" customHeight="1">
      <c r="D94" s="1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</row>
    <row r="95" ht="15.75" customHeight="1">
      <c r="D95" s="1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</row>
    <row r="96" ht="15.75" customHeight="1">
      <c r="D96" s="1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</row>
    <row r="97" ht="15.75" customHeight="1">
      <c r="D97" s="1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</row>
    <row r="98" ht="15.75" customHeight="1">
      <c r="D98" s="1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</row>
    <row r="99" ht="15.75" customHeight="1">
      <c r="D99" s="1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</row>
    <row r="100" ht="15.75" customHeight="1">
      <c r="D100" s="1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</row>
    <row r="101" ht="15.75" customHeight="1">
      <c r="D101" s="1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</row>
    <row r="102" ht="15.75" customHeight="1">
      <c r="D102" s="1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</row>
    <row r="103" ht="15.75" customHeight="1">
      <c r="D103" s="1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</row>
    <row r="104" ht="15.75" customHeight="1">
      <c r="D104" s="1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</row>
    <row r="105" ht="15.75" customHeight="1">
      <c r="D105" s="1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</row>
    <row r="106" ht="15.75" customHeight="1">
      <c r="D106" s="1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</row>
    <row r="107" ht="15.75" customHeight="1">
      <c r="D107" s="1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</row>
    <row r="108" ht="15.75" customHeight="1">
      <c r="D108" s="1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</row>
    <row r="109" ht="15.75" customHeight="1">
      <c r="D109" s="1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</row>
    <row r="110" ht="15.75" customHeight="1">
      <c r="D110" s="1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</row>
    <row r="111" ht="15.75" customHeight="1">
      <c r="D111" s="1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</row>
    <row r="112" ht="15.75" customHeight="1">
      <c r="D112" s="1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</row>
    <row r="113" ht="15.75" customHeight="1">
      <c r="D113" s="1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</row>
    <row r="114" ht="15.75" customHeight="1">
      <c r="D114" s="1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</row>
    <row r="115" ht="15.75" customHeight="1">
      <c r="D115" s="1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</row>
    <row r="116" ht="15.75" customHeight="1">
      <c r="D116" s="1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</row>
    <row r="117" ht="15.75" customHeight="1">
      <c r="D117" s="1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</row>
    <row r="118" ht="15.75" customHeight="1">
      <c r="D118" s="1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</row>
    <row r="119" ht="15.75" customHeight="1">
      <c r="D119" s="1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</row>
    <row r="120" ht="15.75" customHeight="1">
      <c r="D120" s="1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</row>
    <row r="121" ht="15.75" customHeight="1">
      <c r="D121" s="1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</row>
    <row r="122" ht="15.75" customHeight="1">
      <c r="D122" s="1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</row>
    <row r="123" ht="15.75" customHeight="1">
      <c r="D123" s="1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</row>
    <row r="124" ht="15.75" customHeight="1">
      <c r="D124" s="1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</row>
    <row r="125" ht="15.75" customHeight="1">
      <c r="D125" s="1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</row>
    <row r="126" ht="15.75" customHeight="1">
      <c r="D126" s="1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</row>
    <row r="127" ht="15.75" customHeight="1">
      <c r="D127" s="1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</row>
    <row r="128" ht="15.75" customHeight="1">
      <c r="D128" s="1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</row>
    <row r="129" ht="15.75" customHeight="1">
      <c r="D129" s="1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</row>
    <row r="130" ht="15.75" customHeight="1">
      <c r="D130" s="1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</row>
    <row r="131" ht="15.75" customHeight="1">
      <c r="D131" s="1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</row>
    <row r="132" ht="15.75" customHeight="1">
      <c r="D132" s="1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</row>
    <row r="133" ht="15.75" customHeight="1">
      <c r="D133" s="1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</row>
    <row r="134" ht="15.75" customHeight="1">
      <c r="D134" s="1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</row>
    <row r="135" ht="15.75" customHeight="1">
      <c r="D135" s="1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</row>
    <row r="136" ht="15.75" customHeight="1">
      <c r="D136" s="1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</row>
    <row r="137" ht="15.75" customHeight="1">
      <c r="D137" s="1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</row>
    <row r="138" ht="15.75" customHeight="1">
      <c r="D138" s="1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</row>
    <row r="139" ht="15.75" customHeight="1">
      <c r="D139" s="1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</row>
    <row r="140" ht="15.75" customHeight="1">
      <c r="D140" s="1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</row>
    <row r="141" ht="15.75" customHeight="1">
      <c r="D141" s="1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</row>
    <row r="142" ht="15.75" customHeight="1">
      <c r="D142" s="1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</row>
    <row r="143" ht="15.75" customHeight="1">
      <c r="D143" s="1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</row>
    <row r="144" ht="15.75" customHeight="1">
      <c r="D144" s="1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</row>
    <row r="145" ht="15.75" customHeight="1">
      <c r="D145" s="1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</row>
    <row r="146" ht="15.75" customHeight="1">
      <c r="D146" s="1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</row>
    <row r="147" ht="15.75" customHeight="1">
      <c r="D147" s="1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</row>
    <row r="148" ht="15.75" customHeight="1">
      <c r="D148" s="1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</row>
    <row r="149" ht="15.75" customHeight="1">
      <c r="D149" s="1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</row>
    <row r="150" ht="15.75" customHeight="1">
      <c r="D150" s="1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</row>
    <row r="151" ht="15.75" customHeight="1">
      <c r="D151" s="1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</row>
    <row r="152" ht="15.75" customHeight="1">
      <c r="D152" s="1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</row>
    <row r="153" ht="15.75" customHeight="1">
      <c r="D153" s="1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</row>
    <row r="154" ht="15.75" customHeight="1">
      <c r="D154" s="1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</row>
    <row r="155" ht="15.75" customHeight="1">
      <c r="D155" s="1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</row>
    <row r="156" ht="15.75" customHeight="1">
      <c r="D156" s="1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</row>
    <row r="157" ht="15.75" customHeight="1">
      <c r="D157" s="1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</row>
    <row r="158" ht="15.75" customHeight="1">
      <c r="D158" s="1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</row>
    <row r="159" ht="15.75" customHeight="1">
      <c r="D159" s="1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</row>
    <row r="160" ht="15.75" customHeight="1">
      <c r="D160" s="1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</row>
    <row r="161" ht="15.75" customHeight="1">
      <c r="D161" s="1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</row>
    <row r="162" ht="15.75" customHeight="1">
      <c r="D162" s="1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</row>
    <row r="163" ht="15.75" customHeight="1">
      <c r="D163" s="1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</row>
    <row r="164" ht="15.75" customHeight="1">
      <c r="D164" s="1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</row>
    <row r="165" ht="15.75" customHeight="1">
      <c r="D165" s="1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</row>
    <row r="166" ht="15.75" customHeight="1">
      <c r="D166" s="1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</row>
    <row r="167" ht="15.75" customHeight="1">
      <c r="D167" s="1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</row>
    <row r="168" ht="15.75" customHeight="1">
      <c r="D168" s="1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</row>
    <row r="169" ht="15.75" customHeight="1">
      <c r="D169" s="1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</row>
    <row r="170" ht="15.75" customHeight="1">
      <c r="D170" s="1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</row>
    <row r="171" ht="15.75" customHeight="1">
      <c r="D171" s="1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</row>
    <row r="172" ht="15.75" customHeight="1">
      <c r="D172" s="1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</row>
    <row r="173" ht="15.75" customHeight="1">
      <c r="D173" s="1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</row>
    <row r="174" ht="15.75" customHeight="1">
      <c r="D174" s="1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</row>
    <row r="175" ht="15.75" customHeight="1">
      <c r="D175" s="1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</row>
    <row r="176" ht="15.75" customHeight="1">
      <c r="D176" s="1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</row>
    <row r="177" ht="15.75" customHeight="1">
      <c r="D177" s="1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</row>
    <row r="178" ht="15.75" customHeight="1">
      <c r="D178" s="1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</row>
    <row r="179" ht="15.75" customHeight="1">
      <c r="D179" s="1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</row>
    <row r="180" ht="15.75" customHeight="1">
      <c r="D180" s="1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</row>
    <row r="181" ht="15.75" customHeight="1">
      <c r="D181" s="1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</row>
    <row r="182" ht="15.75" customHeight="1">
      <c r="D182" s="1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</row>
    <row r="183" ht="15.75" customHeight="1">
      <c r="D183" s="1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</row>
    <row r="184" ht="15.75" customHeight="1">
      <c r="D184" s="1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</row>
    <row r="185" ht="15.75" customHeight="1">
      <c r="D185" s="1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</row>
    <row r="186" ht="15.75" customHeight="1">
      <c r="D186" s="1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</row>
    <row r="187" ht="15.75" customHeight="1">
      <c r="D187" s="1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</row>
    <row r="188" ht="15.75" customHeight="1">
      <c r="D188" s="1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</row>
    <row r="189" ht="15.75" customHeight="1">
      <c r="D189" s="1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</row>
    <row r="190" ht="15.75" customHeight="1">
      <c r="D190" s="1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</row>
    <row r="191" ht="15.75" customHeight="1">
      <c r="D191" s="1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</row>
    <row r="192" ht="15.75" customHeight="1">
      <c r="D192" s="1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</row>
    <row r="193" ht="15.75" customHeight="1">
      <c r="D193" s="1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</row>
    <row r="194" ht="15.75" customHeight="1">
      <c r="D194" s="1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</row>
    <row r="195" ht="15.75" customHeight="1">
      <c r="D195" s="1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</row>
    <row r="196" ht="15.75" customHeight="1">
      <c r="D196" s="1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</row>
    <row r="197" ht="15.75" customHeight="1">
      <c r="D197" s="1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</row>
    <row r="198" ht="15.75" customHeight="1">
      <c r="D198" s="1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</row>
    <row r="199" ht="15.75" customHeight="1">
      <c r="D199" s="1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</row>
    <row r="200" ht="15.75" customHeight="1">
      <c r="D200" s="1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</row>
    <row r="201" ht="15.75" customHeight="1">
      <c r="D201" s="1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</row>
    <row r="202" ht="15.75" customHeight="1">
      <c r="D202" s="1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</row>
    <row r="203" ht="15.75" customHeight="1">
      <c r="D203" s="1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</row>
    <row r="204" ht="15.75" customHeight="1">
      <c r="D204" s="1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</row>
    <row r="205" ht="15.75" customHeight="1">
      <c r="D205" s="1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</row>
    <row r="206" ht="15.75" customHeight="1">
      <c r="D206" s="1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</row>
    <row r="207" ht="15.75" customHeight="1">
      <c r="D207" s="1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</row>
    <row r="208" ht="15.75" customHeight="1">
      <c r="D208" s="1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</row>
    <row r="209" ht="15.75" customHeight="1">
      <c r="D209" s="1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</row>
    <row r="210" ht="15.75" customHeight="1">
      <c r="D210" s="1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</row>
    <row r="211" ht="15.75" customHeight="1">
      <c r="D211" s="1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</row>
    <row r="212" ht="15.75" customHeight="1">
      <c r="D212" s="1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</row>
    <row r="213" ht="15.75" customHeight="1">
      <c r="D213" s="1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</row>
    <row r="214" ht="15.75" customHeight="1">
      <c r="D214" s="1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</row>
    <row r="215" ht="15.75" customHeight="1">
      <c r="D215" s="1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</row>
    <row r="216" ht="15.75" customHeight="1">
      <c r="D216" s="1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</row>
    <row r="217" ht="15.75" customHeight="1">
      <c r="D217" s="1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</row>
    <row r="218" ht="15.75" customHeight="1">
      <c r="D218" s="1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</row>
    <row r="219" ht="15.75" customHeight="1">
      <c r="D219" s="1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</row>
    <row r="220" ht="15.75" customHeight="1">
      <c r="D220" s="1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1:P16 R3">
    <cfRule type="cellIs" dxfId="0" priority="1" operator="greaterThan">
      <formula>0</formula>
    </cfRule>
  </conditionalFormatting>
  <conditionalFormatting sqref="O1:P16 R3">
    <cfRule type="cellIs" dxfId="1" priority="2" operator="lessThan">
      <formula>0</formula>
    </cfRule>
  </conditionalFormatting>
  <conditionalFormatting sqref="U3:AF13">
    <cfRule type="cellIs" dxfId="4" priority="3" operator="equal">
      <formula>"""NA"""</formula>
    </cfRule>
  </conditionalFormatting>
  <conditionalFormatting sqref="U1:V16 W1:Z1 W3:Z16 AA1:AF16">
    <cfRule type="cellIs" dxfId="2" priority="4" operator="greaterThan">
      <formula>0</formula>
    </cfRule>
  </conditionalFormatting>
  <conditionalFormatting sqref="U1:V16 W1:Z1 W3:Z16 AA1:AF16">
    <cfRule type="cellIs" dxfId="1" priority="5" operator="lessThan">
      <formula>0</formula>
    </cfRule>
  </conditionalFormatting>
  <conditionalFormatting sqref="U1:V16 W1:Z1 W3:Z16 AA1:AF16">
    <cfRule type="cellIs" dxfId="3" priority="6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9.0"/>
    <col customWidth="1" min="3" max="3" width="18.88"/>
    <col customWidth="1" min="4" max="6" width="12.63"/>
    <col customWidth="1" min="7" max="7" width="17.0"/>
  </cols>
  <sheetData>
    <row r="1" ht="33.0" customHeight="1">
      <c r="A1" s="1" t="s">
        <v>60</v>
      </c>
      <c r="B1" s="1" t="s">
        <v>1</v>
      </c>
      <c r="C1" s="1" t="s">
        <v>61</v>
      </c>
      <c r="D1" s="1" t="s">
        <v>62</v>
      </c>
      <c r="E1" s="1" t="s">
        <v>63</v>
      </c>
      <c r="F1" s="1" t="s">
        <v>5</v>
      </c>
      <c r="G1" s="1" t="s">
        <v>64</v>
      </c>
      <c r="H1" s="1" t="s">
        <v>65</v>
      </c>
      <c r="I1" s="1"/>
      <c r="J1" s="1"/>
      <c r="K1" s="1"/>
      <c r="L1" s="1"/>
      <c r="M1" s="1"/>
      <c r="N1" s="1"/>
      <c r="O1" s="1"/>
      <c r="P1" s="1"/>
    </row>
    <row r="2">
      <c r="A2" s="65" t="s">
        <v>66</v>
      </c>
      <c r="B2" s="65"/>
      <c r="C2" s="65" t="s">
        <v>66</v>
      </c>
      <c r="D2" s="65"/>
      <c r="E2" s="65"/>
      <c r="F2" s="66">
        <f>VLOOKUP($A$2, 'Sector Holdings'!$A$3:$I$130, 8, FALSE)</f>
        <v>144078</v>
      </c>
      <c r="G2" s="67">
        <f>VLOOKUP($A$2, 'Sector Holdings'!$A$3:$I$130, 9, FALSE)</f>
        <v>0.05404909382</v>
      </c>
      <c r="H2" s="68"/>
      <c r="K2" s="23" t="s">
        <v>67</v>
      </c>
      <c r="L2" s="23" t="s">
        <v>5</v>
      </c>
    </row>
    <row r="3">
      <c r="A3" s="65" t="s">
        <v>68</v>
      </c>
      <c r="B3" s="65" t="str">
        <f>VLOOKUP($A3, 'Sector Holdings'!$B$3:$C$130, 2, FALSE)</f>
        <v>SPDR S&amp;P 500 ETF</v>
      </c>
      <c r="C3" s="65" t="s">
        <v>69</v>
      </c>
      <c r="D3" s="66">
        <f>VLOOKUP($A3, 'Sector Holdings'!$B$3:$H$130, 5, FALSE)</f>
        <v>682.51</v>
      </c>
      <c r="E3" s="69">
        <f>VLOOKUP($A3, 'Sector Holdings'!$B$3:$I$130, 6, FALSE)</f>
        <v>0</v>
      </c>
      <c r="F3" s="65">
        <f t="shared" ref="F3:F80" si="1">D3*E3</f>
        <v>0</v>
      </c>
      <c r="G3" s="67">
        <f>VLOOKUP($A3, 'Sector Holdings'!$B$3:$I$130, 8, FALSE)</f>
        <v>0</v>
      </c>
      <c r="H3" s="70" t="str">
        <f t="shared" ref="H3:H80" si="2">IF(F3&gt;0, F3/SUMIF(C:C,C3, F:F), "N/A")</f>
        <v>N/A</v>
      </c>
      <c r="J3" s="23" t="s">
        <v>70</v>
      </c>
      <c r="K3" s="19" t="str">
        <f t="shared" ref="K3:K5" si="3">L3/$L$6</f>
        <v>#N/A</v>
      </c>
      <c r="L3" s="23" t="str">
        <f>L6-L5-L4</f>
        <v>#N/A</v>
      </c>
    </row>
    <row r="4">
      <c r="A4" s="65" t="s">
        <v>29</v>
      </c>
      <c r="B4" s="65" t="str">
        <f>VLOOKUP($A4, 'Sector Holdings'!$B$3:$C$130, 2, FALSE)</f>
        <v>iShares Aggregate Bond ETF</v>
      </c>
      <c r="C4" s="65" t="s">
        <v>17</v>
      </c>
      <c r="D4" s="66">
        <f>VLOOKUP($A4, 'Sector Holdings'!$B$3:$H$130, 5, FALSE)</f>
        <v>101.07</v>
      </c>
      <c r="E4" s="69">
        <f>VLOOKUP($A4, 'Sector Holdings'!$B$3:$I$130, 6, FALSE)</f>
        <v>0</v>
      </c>
      <c r="F4" s="65">
        <f t="shared" si="1"/>
        <v>0</v>
      </c>
      <c r="G4" s="67">
        <f>VLOOKUP($A4, 'Sector Holdings'!$B$3:$I$130, 8, FALSE)</f>
        <v>0</v>
      </c>
      <c r="H4" s="70" t="str">
        <f t="shared" si="2"/>
        <v>N/A</v>
      </c>
      <c r="J4" s="23" t="s">
        <v>17</v>
      </c>
      <c r="K4" s="19" t="str">
        <f t="shared" si="3"/>
        <v>#N/A</v>
      </c>
      <c r="L4" s="71" t="str">
        <f>SUMIF(C:C, "Fixed Income", F:F)</f>
        <v>#N/A</v>
      </c>
    </row>
    <row r="5">
      <c r="A5" s="65" t="s">
        <v>71</v>
      </c>
      <c r="B5" s="65" t="str">
        <f>VLOOKUP($A5, 'Sector Holdings'!$B$3:$C$130, 2, FALSE)</f>
        <v>SPDR Discretionary ETF</v>
      </c>
      <c r="C5" s="65" t="s">
        <v>72</v>
      </c>
      <c r="D5" s="66">
        <f>VLOOKUP($A5, 'Sector Holdings'!$B$3:$H$130, 5, FALSE)</f>
        <v>114.52</v>
      </c>
      <c r="E5" s="69">
        <f>VLOOKUP($A5, 'Sector Holdings'!$B$3:$I$130, 6, FALSE)</f>
        <v>0</v>
      </c>
      <c r="F5" s="65">
        <f t="shared" si="1"/>
        <v>0</v>
      </c>
      <c r="G5" s="67">
        <f>VLOOKUP($A5, 'Sector Holdings'!$B$3:$I$130, 8, FALSE)</f>
        <v>0</v>
      </c>
      <c r="H5" s="70" t="str">
        <f t="shared" si="2"/>
        <v>N/A</v>
      </c>
      <c r="J5" s="23" t="s">
        <v>30</v>
      </c>
      <c r="K5" s="19">
        <f t="shared" si="3"/>
        <v>0.05404909382</v>
      </c>
      <c r="L5" s="71">
        <f>SUMIF(C:C, "Total Cash", F:F)</f>
        <v>144078</v>
      </c>
    </row>
    <row r="6">
      <c r="A6" s="65" t="s">
        <v>73</v>
      </c>
      <c r="B6" s="65" t="str">
        <f>VLOOKUP($A6, 'Sector Holdings'!$B$3:$C$130, 2, FALSE)</f>
        <v>SPDR Consumer Staples ETF</v>
      </c>
      <c r="C6" s="65" t="s">
        <v>74</v>
      </c>
      <c r="D6" s="66">
        <f>VLOOKUP($A6, 'Sector Holdings'!$B$3:$H$130, 5, FALSE)</f>
        <v>88.74</v>
      </c>
      <c r="E6" s="69">
        <f>VLOOKUP($A6, 'Sector Holdings'!$B$3:$I$130, 6, FALSE)</f>
        <v>0</v>
      </c>
      <c r="F6" s="65">
        <f t="shared" si="1"/>
        <v>0</v>
      </c>
      <c r="G6" s="67">
        <f>VLOOKUP($A6, 'Sector Holdings'!$B$3:$I$130, 8, FALSE)</f>
        <v>0</v>
      </c>
      <c r="H6" s="70" t="str">
        <f t="shared" si="2"/>
        <v>N/A</v>
      </c>
      <c r="J6" s="23" t="s">
        <v>75</v>
      </c>
      <c r="K6" s="23" t="str">
        <f>SUM(K3:K5)</f>
        <v>#N/A</v>
      </c>
      <c r="L6" s="11">
        <f>'Sector Holdings'!H121</f>
        <v>2665687.615</v>
      </c>
    </row>
    <row r="7">
      <c r="A7" s="65" t="s">
        <v>76</v>
      </c>
      <c r="B7" s="65" t="str">
        <f>VLOOKUP($A7, 'Sector Holdings'!$B$3:$C$130, 2, FALSE)</f>
        <v>SPDR Energy ETF</v>
      </c>
      <c r="C7" s="65" t="s">
        <v>77</v>
      </c>
      <c r="D7" s="66">
        <f>VLOOKUP($A7, 'Sector Holdings'!$B$3:$H$130, 5, FALSE)</f>
        <v>55.16</v>
      </c>
      <c r="E7" s="69">
        <f>VLOOKUP($A7, 'Sector Holdings'!$B$3:$I$130, 6, FALSE)</f>
        <v>0</v>
      </c>
      <c r="F7" s="65">
        <f t="shared" si="1"/>
        <v>0</v>
      </c>
      <c r="G7" s="67">
        <f>VLOOKUP($A7, 'Sector Holdings'!$B$3:$I$130, 8, FALSE)</f>
        <v>0</v>
      </c>
      <c r="H7" s="70" t="str">
        <f t="shared" si="2"/>
        <v>N/A</v>
      </c>
    </row>
    <row r="8">
      <c r="A8" s="65" t="s">
        <v>78</v>
      </c>
      <c r="B8" s="65" t="str">
        <f>VLOOKUP($A8, 'Sector Holdings'!$B$3:$C$130, 2, FALSE)</f>
        <v>SPDR Financials ETF</v>
      </c>
      <c r="C8" s="65" t="s">
        <v>79</v>
      </c>
      <c r="D8" s="66">
        <f>VLOOKUP($A8, 'Sector Holdings'!$B$3:$H$130, 5, FALSE)</f>
        <v>50.89</v>
      </c>
      <c r="E8" s="69">
        <f>VLOOKUP($A8, 'Sector Holdings'!$B$3:$I$130, 6, FALSE)</f>
        <v>0</v>
      </c>
      <c r="F8" s="65">
        <f t="shared" si="1"/>
        <v>0</v>
      </c>
      <c r="G8" s="67">
        <f>VLOOKUP($A8, 'Sector Holdings'!$B$3:$I$130, 8, FALSE)</f>
        <v>0</v>
      </c>
      <c r="H8" s="70" t="str">
        <f t="shared" si="2"/>
        <v>N/A</v>
      </c>
    </row>
    <row r="9">
      <c r="A9" s="65" t="s">
        <v>80</v>
      </c>
      <c r="B9" s="65" t="str">
        <f>VLOOKUP($A9, 'Sector Holdings'!$B$3:$C$130, 2, FALSE)</f>
        <v>SPDR Healthcare ETF</v>
      </c>
      <c r="C9" s="65" t="s">
        <v>81</v>
      </c>
      <c r="D9" s="66">
        <f>VLOOKUP($A9, 'Sector Holdings'!$B$3:$H$130, 5, FALSE)</f>
        <v>158.19</v>
      </c>
      <c r="E9" s="69">
        <f>VLOOKUP($A9, 'Sector Holdings'!$B$3:$I$130, 6, FALSE)</f>
        <v>0</v>
      </c>
      <c r="F9" s="65">
        <f t="shared" si="1"/>
        <v>0</v>
      </c>
      <c r="G9" s="67">
        <f>VLOOKUP($A9, 'Sector Holdings'!$B$3:$I$130, 8, FALSE)</f>
        <v>0</v>
      </c>
      <c r="H9" s="70" t="str">
        <f t="shared" si="2"/>
        <v>N/A</v>
      </c>
    </row>
    <row r="10">
      <c r="A10" s="65" t="s">
        <v>82</v>
      </c>
      <c r="B10" s="65" t="str">
        <f>VLOOKUP($A10, 'Sector Holdings'!$B$3:$C$130, 2, FALSE)</f>
        <v>SPDR Industrials ETF</v>
      </c>
      <c r="C10" s="65" t="s">
        <v>83</v>
      </c>
      <c r="D10" s="66">
        <f>VLOOKUP($A10, 'Sector Holdings'!$B$3:$H$130, 5, FALSE)</f>
        <v>175.12</v>
      </c>
      <c r="E10" s="69">
        <f>VLOOKUP($A10, 'Sector Holdings'!$B$3:$I$130, 6, FALSE)</f>
        <v>0</v>
      </c>
      <c r="F10" s="65">
        <f t="shared" si="1"/>
        <v>0</v>
      </c>
      <c r="G10" s="67">
        <f>VLOOKUP($A10, 'Sector Holdings'!$B$3:$I$130, 8, FALSE)</f>
        <v>0</v>
      </c>
      <c r="H10" s="70" t="str">
        <f t="shared" si="2"/>
        <v>N/A</v>
      </c>
    </row>
    <row r="11">
      <c r="A11" s="65" t="s">
        <v>84</v>
      </c>
      <c r="B11" s="65" t="str">
        <f>VLOOKUP($A11, 'Sector Holdings'!$B$3:$C$130, 2, FALSE)</f>
        <v>SPDR REITs ETF</v>
      </c>
      <c r="C11" s="65" t="s">
        <v>85</v>
      </c>
      <c r="D11" s="66">
        <f>VLOOKUP($A11, 'Sector Holdings'!$B$3:$H$130, 5, FALSE)</f>
        <v>43.68</v>
      </c>
      <c r="E11" s="69" t="str">
        <f>VLOOKUP($A11, 'Sector Holdings'!$B$3:$I$130, 6, FALSE)</f>
        <v/>
      </c>
      <c r="F11" s="65">
        <f t="shared" si="1"/>
        <v>0</v>
      </c>
      <c r="G11" s="67">
        <f>VLOOKUP($A11, 'Sector Holdings'!$B$3:$I$130, 8, FALSE)</f>
        <v>0</v>
      </c>
      <c r="H11" s="70" t="str">
        <f t="shared" si="2"/>
        <v>N/A</v>
      </c>
    </row>
    <row r="12">
      <c r="A12" s="65" t="s">
        <v>86</v>
      </c>
      <c r="B12" s="65" t="str">
        <f>VLOOKUP($A12, 'Sector Holdings'!$B$3:$C$130, 2, FALSE)</f>
        <v>SPDR Technology ETF</v>
      </c>
      <c r="C12" s="65" t="s">
        <v>87</v>
      </c>
      <c r="D12" s="66">
        <f>VLOOKUP($A12, 'Sector Holdings'!$B$3:$H$130, 5, FALSE)</f>
        <v>139.25</v>
      </c>
      <c r="E12" s="69">
        <f>VLOOKUP($A12, 'Sector Holdings'!$B$3:$I$130, 6, FALSE)</f>
        <v>0</v>
      </c>
      <c r="F12" s="65">
        <f t="shared" si="1"/>
        <v>0</v>
      </c>
      <c r="G12" s="67">
        <f>VLOOKUP($A12, 'Sector Holdings'!$B$3:$I$130, 8, FALSE)</f>
        <v>0</v>
      </c>
      <c r="H12" s="70" t="str">
        <f t="shared" si="2"/>
        <v>N/A</v>
      </c>
    </row>
    <row r="13">
      <c r="A13" s="65" t="s">
        <v>88</v>
      </c>
      <c r="B13" s="65" t="str">
        <f>VLOOKUP($A13, 'Sector Holdings'!$B$3:$C$130, 2, FALSE)</f>
        <v>SPDR Communications Services ETF</v>
      </c>
      <c r="C13" s="65" t="s">
        <v>89</v>
      </c>
      <c r="D13" s="66">
        <f>VLOOKUP($A13, 'Sector Holdings'!$B$3:$H$130, 5, FALSE)</f>
        <v>116.06</v>
      </c>
      <c r="E13" s="69">
        <f>VLOOKUP($A13, 'Sector Holdings'!$B$3:$I$130, 6, FALSE)</f>
        <v>0</v>
      </c>
      <c r="F13" s="65">
        <f t="shared" si="1"/>
        <v>0</v>
      </c>
      <c r="G13" s="67">
        <f>VLOOKUP($A13, 'Sector Holdings'!$B$3:$I$130, 8, FALSE)</f>
        <v>0</v>
      </c>
      <c r="H13" s="70" t="str">
        <f t="shared" si="2"/>
        <v>N/A</v>
      </c>
    </row>
    <row r="14">
      <c r="A14" s="65" t="s">
        <v>90</v>
      </c>
      <c r="B14" s="65" t="str">
        <f>VLOOKUP($A14, 'Sector Holdings'!$B$3:$C$130, 2, FALSE)</f>
        <v>SPDR Utilities ETF</v>
      </c>
      <c r="C14" s="65" t="s">
        <v>91</v>
      </c>
      <c r="D14" s="66">
        <f>VLOOKUP($A14, 'Sector Holdings'!$B$3:$H$130, 5, FALSE)</f>
        <v>46.63</v>
      </c>
      <c r="E14" s="69">
        <f>VLOOKUP($A14, 'Sector Holdings'!$B$3:$I$130, 6, FALSE)</f>
        <v>0</v>
      </c>
      <c r="F14" s="65">
        <f t="shared" si="1"/>
        <v>0</v>
      </c>
      <c r="G14" s="67">
        <f>VLOOKUP($A14, 'Sector Holdings'!$B$3:$I$130, 8, FALSE)</f>
        <v>0</v>
      </c>
      <c r="H14" s="70" t="str">
        <f t="shared" si="2"/>
        <v>N/A</v>
      </c>
    </row>
    <row r="15">
      <c r="A15" s="23" t="s">
        <v>92</v>
      </c>
      <c r="B15" s="23" t="str">
        <f>VLOOKUP(A15, 'Sector Holdings'!$B$3:$C$130, 2, FALSE)</f>
        <v>Amazon.com Inc</v>
      </c>
      <c r="C15" s="23" t="s">
        <v>72</v>
      </c>
      <c r="D15" s="11">
        <f>VLOOKUP($A15, 'Sector Holdings'!$B$3:$H$130, 5, FALSE)</f>
        <v>204.63</v>
      </c>
      <c r="E15" s="49">
        <f>VLOOKUP($A15, 'Sector Holdings'!$B$3:$I$130, 6, FALSE)</f>
        <v>425</v>
      </c>
      <c r="F15" s="23">
        <f t="shared" si="1"/>
        <v>86967.75</v>
      </c>
      <c r="G15" s="19">
        <f>VLOOKUP($A15, 'Sector Holdings'!$B$3:$I$130, 8, FALSE)</f>
        <v>0.03262488429</v>
      </c>
      <c r="H15" s="30" t="str">
        <f t="shared" si="2"/>
        <v>#N/A</v>
      </c>
    </row>
    <row r="16">
      <c r="A16" s="23" t="s">
        <v>93</v>
      </c>
      <c r="B16" s="23" t="str">
        <f>VLOOKUP(A16, 'Sector Holdings'!$B$3:$C$130, 2, FALSE)</f>
        <v>#N/A</v>
      </c>
      <c r="C16" s="23" t="s">
        <v>72</v>
      </c>
      <c r="D16" s="23" t="str">
        <f>VLOOKUP($A16, 'Sector Holdings'!$B$3:$H$130, 5, FALSE)</f>
        <v>#N/A</v>
      </c>
      <c r="E16" s="23" t="str">
        <f>VLOOKUP($A16, 'Sector Holdings'!$B$3:$I$130, 6, FALSE)</f>
        <v>#N/A</v>
      </c>
      <c r="F16" s="23" t="str">
        <f t="shared" si="1"/>
        <v>#N/A</v>
      </c>
      <c r="G16" s="23" t="str">
        <f>VLOOKUP($A16, 'Sector Holdings'!$B$3:$I$130, 8, FALSE)</f>
        <v>#N/A</v>
      </c>
      <c r="H16" s="30" t="str">
        <f t="shared" si="2"/>
        <v>#N/A</v>
      </c>
    </row>
    <row r="17">
      <c r="A17" s="23" t="s">
        <v>94</v>
      </c>
      <c r="B17" s="23" t="str">
        <f>VLOOKUP(A17, 'Sector Holdings'!$B$3:$C$130, 2, FALSE)</f>
        <v>LVMH Moët Hennessy Louis Vuitton</v>
      </c>
      <c r="C17" s="23" t="s">
        <v>72</v>
      </c>
      <c r="D17" s="11">
        <f>VLOOKUP($A17, 'Sector Holdings'!$B$3:$H$130, 5, FALSE)</f>
        <v>132.36</v>
      </c>
      <c r="E17" s="49">
        <f>VLOOKUP($A17, 'Sector Holdings'!$B$3:$I$130, 6, FALSE)</f>
        <v>258</v>
      </c>
      <c r="F17" s="23">
        <f t="shared" si="1"/>
        <v>34148.88</v>
      </c>
      <c r="G17" s="19">
        <f>VLOOKUP($A17, 'Sector Holdings'!$B$3:$I$130, 8, FALSE)</f>
        <v>0.01281053332</v>
      </c>
      <c r="H17" s="30" t="str">
        <f t="shared" si="2"/>
        <v>#N/A</v>
      </c>
    </row>
    <row r="18">
      <c r="A18" s="23" t="s">
        <v>95</v>
      </c>
      <c r="B18" s="23" t="str">
        <f>VLOOKUP(A18, 'Sector Holdings'!$B$3:$C$130, 2, FALSE)</f>
        <v>Airbnb, Inc.</v>
      </c>
      <c r="C18" s="23" t="s">
        <v>72</v>
      </c>
      <c r="D18" s="11">
        <f>VLOOKUP($A18, 'Sector Holdings'!$B$3:$H$130, 5, FALSE)</f>
        <v>120.9</v>
      </c>
      <c r="E18" s="49">
        <f>VLOOKUP($A18, 'Sector Holdings'!$B$3:$I$130, 6, FALSE)</f>
        <v>334</v>
      </c>
      <c r="F18" s="23">
        <f t="shared" si="1"/>
        <v>40380.6</v>
      </c>
      <c r="G18" s="19">
        <f>VLOOKUP($A18, 'Sector Holdings'!$B$3:$I$130, 8, FALSE)</f>
        <v>0.01514828661</v>
      </c>
      <c r="H18" s="30" t="str">
        <f t="shared" si="2"/>
        <v>#N/A</v>
      </c>
    </row>
    <row r="19">
      <c r="A19" s="65" t="s">
        <v>96</v>
      </c>
      <c r="B19" s="65" t="str">
        <f>VLOOKUP(A19, 'Sector Holdings'!$B$3:$C$130, 2, FALSE)</f>
        <v>#N/A</v>
      </c>
      <c r="C19" s="65" t="s">
        <v>74</v>
      </c>
      <c r="D19" s="65" t="str">
        <f>VLOOKUP($A19, 'Sector Holdings'!$B$3:$H$130, 5, FALSE)</f>
        <v>#N/A</v>
      </c>
      <c r="E19" s="65" t="str">
        <f>VLOOKUP($A19, 'Sector Holdings'!$B$3:$I$130, 6, FALSE)</f>
        <v>#N/A</v>
      </c>
      <c r="F19" s="65" t="str">
        <f t="shared" si="1"/>
        <v>#N/A</v>
      </c>
      <c r="G19" s="65" t="str">
        <f>VLOOKUP($A19, 'Sector Holdings'!$B$3:$I$130, 8, FALSE)</f>
        <v>#N/A</v>
      </c>
      <c r="H19" s="70" t="str">
        <f t="shared" si="2"/>
        <v>#N/A</v>
      </c>
    </row>
    <row r="20">
      <c r="A20" s="65" t="s">
        <v>97</v>
      </c>
      <c r="B20" s="65" t="str">
        <f>VLOOKUP(A20, 'Sector Holdings'!$B$3:$C$130, 2, FALSE)</f>
        <v>Philip Morris International Inc.</v>
      </c>
      <c r="C20" s="65" t="s">
        <v>74</v>
      </c>
      <c r="D20" s="66">
        <f>VLOOKUP($A20, 'Sector Holdings'!$B$3:$H$130, 5, FALSE)</f>
        <v>185.24</v>
      </c>
      <c r="E20" s="69">
        <f>VLOOKUP($A20, 'Sector Holdings'!$B$3:$I$130, 6, FALSE)</f>
        <v>243</v>
      </c>
      <c r="F20" s="65">
        <f t="shared" si="1"/>
        <v>45013.32</v>
      </c>
      <c r="G20" s="67">
        <f>VLOOKUP($A20, 'Sector Holdings'!$B$3:$I$130, 8, FALSE)</f>
        <v>0.01688619467</v>
      </c>
      <c r="H20" s="70" t="str">
        <f t="shared" si="2"/>
        <v>#N/A</v>
      </c>
    </row>
    <row r="21" ht="15.75" customHeight="1">
      <c r="A21" s="23" t="s">
        <v>98</v>
      </c>
      <c r="B21" s="23" t="str">
        <f>VLOOKUP(A21, 'Sector Holdings'!$B$3:$C$130, 2, FALSE)</f>
        <v>Cheniere Energy</v>
      </c>
      <c r="C21" s="23" t="s">
        <v>77</v>
      </c>
      <c r="D21" s="11">
        <f>VLOOKUP($A21, 'Sector Holdings'!$B$3:$H$130, 5, FALSE)</f>
        <v>226.62</v>
      </c>
      <c r="E21" s="49">
        <f>VLOOKUP($A21, 'Sector Holdings'!$B$3:$I$130, 6, FALSE)</f>
        <v>323</v>
      </c>
      <c r="F21" s="23">
        <f t="shared" si="1"/>
        <v>73198.26</v>
      </c>
      <c r="G21" s="19">
        <f>VLOOKUP($A21, 'Sector Holdings'!$B$3:$I$130, 8, FALSE)</f>
        <v>0.02745942908</v>
      </c>
      <c r="H21" s="30" t="str">
        <f t="shared" si="2"/>
        <v>#N/A</v>
      </c>
    </row>
    <row r="22" ht="15.75" customHeight="1">
      <c r="A22" s="23" t="s">
        <v>99</v>
      </c>
      <c r="B22" s="23" t="str">
        <f>VLOOKUP(A22, 'Sector Holdings'!$B$3:$C$130, 2, FALSE)</f>
        <v>Diamondback Energy Inc</v>
      </c>
      <c r="C22" s="23" t="s">
        <v>77</v>
      </c>
      <c r="D22" s="11">
        <f>VLOOKUP($A22, 'Sector Holdings'!$B$3:$H$130, 5, FALSE)</f>
        <v>174.82</v>
      </c>
      <c r="E22" s="49">
        <f>VLOOKUP($A22, 'Sector Holdings'!$B$3:$I$130, 6, FALSE)</f>
        <v>168</v>
      </c>
      <c r="F22" s="23">
        <f t="shared" si="1"/>
        <v>29369.76</v>
      </c>
      <c r="G22" s="19">
        <f>VLOOKUP($A22, 'Sector Holdings'!$B$3:$I$130, 8, FALSE)</f>
        <v>0.01101770509</v>
      </c>
      <c r="H22" s="30" t="str">
        <f t="shared" si="2"/>
        <v>#N/A</v>
      </c>
    </row>
    <row r="23" ht="15.75" customHeight="1">
      <c r="A23" s="23" t="s">
        <v>100</v>
      </c>
      <c r="B23" s="23" t="str">
        <f>VLOOKUP(A23, 'Sector Holdings'!$B$3:$C$130, 2, FALSE)</f>
        <v>#N/A</v>
      </c>
      <c r="C23" s="23" t="s">
        <v>77</v>
      </c>
      <c r="D23" s="23" t="str">
        <f>VLOOKUP($A23, 'Sector Holdings'!$B$3:$H$130, 5, FALSE)</f>
        <v>#N/A</v>
      </c>
      <c r="E23" s="23" t="str">
        <f>VLOOKUP($A23, 'Sector Holdings'!$B$3:$I$130, 6, FALSE)</f>
        <v>#N/A</v>
      </c>
      <c r="F23" s="23" t="str">
        <f t="shared" si="1"/>
        <v>#N/A</v>
      </c>
      <c r="G23" s="23" t="str">
        <f>VLOOKUP($A23, 'Sector Holdings'!$B$3:$I$130, 8, FALSE)</f>
        <v>#N/A</v>
      </c>
      <c r="H23" s="30" t="str">
        <f t="shared" si="2"/>
        <v>#N/A</v>
      </c>
    </row>
    <row r="24" ht="15.75" customHeight="1">
      <c r="A24" s="65" t="s">
        <v>101</v>
      </c>
      <c r="B24" s="65" t="str">
        <f>VLOOKUP(A24, 'Sector Holdings'!$B$3:$C$130, 2, FALSE)</f>
        <v>#N/A</v>
      </c>
      <c r="C24" s="65" t="s">
        <v>79</v>
      </c>
      <c r="D24" s="65" t="str">
        <f>VLOOKUP($A24, 'Sector Holdings'!$B$3:$H$130, 5, FALSE)</f>
        <v>#N/A</v>
      </c>
      <c r="E24" s="65" t="str">
        <f>VLOOKUP($A24, 'Sector Holdings'!$B$3:$I$130, 6, FALSE)</f>
        <v>#N/A</v>
      </c>
      <c r="F24" s="65" t="str">
        <f t="shared" si="1"/>
        <v>#N/A</v>
      </c>
      <c r="G24" s="65" t="str">
        <f>VLOOKUP($A24, 'Sector Holdings'!$B$3:$I$130, 8, FALSE)</f>
        <v>#N/A</v>
      </c>
      <c r="H24" s="70" t="str">
        <f t="shared" si="2"/>
        <v>#N/A</v>
      </c>
    </row>
    <row r="25" ht="15.75" customHeight="1">
      <c r="A25" s="65" t="s">
        <v>102</v>
      </c>
      <c r="B25" s="65" t="str">
        <f>VLOOKUP(A25, 'Sector Holdings'!$B$3:$C$130, 2, FALSE)</f>
        <v>#N/A</v>
      </c>
      <c r="C25" s="65" t="s">
        <v>79</v>
      </c>
      <c r="D25" s="65" t="str">
        <f>VLOOKUP($A25, 'Sector Holdings'!$B$3:$H$130, 5, FALSE)</f>
        <v>#N/A</v>
      </c>
      <c r="E25" s="65" t="str">
        <f>VLOOKUP($A25, 'Sector Holdings'!$B$3:$I$130, 6, FALSE)</f>
        <v>#N/A</v>
      </c>
      <c r="F25" s="65" t="str">
        <f t="shared" si="1"/>
        <v>#N/A</v>
      </c>
      <c r="G25" s="65" t="str">
        <f>VLOOKUP($A25, 'Sector Holdings'!$B$3:$I$130, 8, FALSE)</f>
        <v>#N/A</v>
      </c>
      <c r="H25" s="70" t="str">
        <f t="shared" si="2"/>
        <v>#N/A</v>
      </c>
    </row>
    <row r="26" ht="15.75" customHeight="1">
      <c r="A26" s="65" t="s">
        <v>103</v>
      </c>
      <c r="B26" s="65" t="str">
        <f>VLOOKUP(A26, 'Sector Holdings'!$B$3:$C$130, 2, FALSE)</f>
        <v>Principal Financial Group Inc</v>
      </c>
      <c r="C26" s="65" t="s">
        <v>79</v>
      </c>
      <c r="D26" s="66">
        <f>VLOOKUP($A26, 'Sector Holdings'!$B$3:$H$130, 5, FALSE)</f>
        <v>93.27</v>
      </c>
      <c r="E26" s="69">
        <f>VLOOKUP($A26, 'Sector Holdings'!$B$3:$I$130, 6, FALSE)</f>
        <v>41</v>
      </c>
      <c r="F26" s="65">
        <f t="shared" si="1"/>
        <v>3824.07</v>
      </c>
      <c r="G26" s="67">
        <f>VLOOKUP($A26, 'Sector Holdings'!$B$3:$I$130, 8, FALSE)</f>
        <v>0.001434552938</v>
      </c>
      <c r="H26" s="70" t="str">
        <f t="shared" si="2"/>
        <v>#N/A</v>
      </c>
    </row>
    <row r="27" ht="15.75" customHeight="1">
      <c r="A27" s="65" t="s">
        <v>104</v>
      </c>
      <c r="B27" s="65" t="str">
        <f>VLOOKUP(A27, 'Sector Holdings'!$B$3:$C$130, 2, FALSE)</f>
        <v>#N/A</v>
      </c>
      <c r="C27" s="65" t="s">
        <v>79</v>
      </c>
      <c r="D27" s="65" t="str">
        <f>VLOOKUP($A27, 'Sector Holdings'!$B$3:$H$130, 5, FALSE)</f>
        <v>#N/A</v>
      </c>
      <c r="E27" s="65" t="str">
        <f>VLOOKUP($A27, 'Sector Holdings'!$B$3:$I$130, 6, FALSE)</f>
        <v>#N/A</v>
      </c>
      <c r="F27" s="65" t="str">
        <f t="shared" si="1"/>
        <v>#N/A</v>
      </c>
      <c r="G27" s="65" t="str">
        <f>VLOOKUP($A27, 'Sector Holdings'!$B$3:$I$130, 8, FALSE)</f>
        <v>#N/A</v>
      </c>
      <c r="H27" s="70" t="str">
        <f t="shared" si="2"/>
        <v>#N/A</v>
      </c>
    </row>
    <row r="28" ht="15.75" customHeight="1">
      <c r="A28" s="65" t="s">
        <v>105</v>
      </c>
      <c r="B28" s="65" t="str">
        <f>VLOOKUP(A28, 'Sector Holdings'!$B$3:$C$130, 2, FALSE)</f>
        <v>#N/A</v>
      </c>
      <c r="C28" s="65" t="s">
        <v>79</v>
      </c>
      <c r="D28" s="66" t="str">
        <f>VLOOKUP($A28, 'Sector Holdings'!$B$3:$H$130, 5, FALSE)</f>
        <v>#N/A</v>
      </c>
      <c r="E28" s="69" t="str">
        <f>VLOOKUP($A28, 'Sector Holdings'!$B$3:$I$130, 6, FALSE)</f>
        <v>#N/A</v>
      </c>
      <c r="F28" s="65" t="str">
        <f t="shared" si="1"/>
        <v>#N/A</v>
      </c>
      <c r="G28" s="67" t="str">
        <f>VLOOKUP($A28, 'Sector Holdings'!$B$3:$I$130, 8, FALSE)</f>
        <v>#N/A</v>
      </c>
      <c r="H28" s="70" t="str">
        <f t="shared" si="2"/>
        <v>#N/A</v>
      </c>
    </row>
    <row r="29" ht="15.75" customHeight="1">
      <c r="A29" s="65" t="s">
        <v>106</v>
      </c>
      <c r="B29" s="65" t="str">
        <f>VLOOKUP(A29, 'Sector Holdings'!$B$3:$C$130, 2, FALSE)</f>
        <v>Arch Capital Group Ltd</v>
      </c>
      <c r="C29" s="65" t="s">
        <v>79</v>
      </c>
      <c r="D29" s="66">
        <f>VLOOKUP($A29, 'Sector Holdings'!$B$3:$H$130, 5, FALSE)</f>
        <v>98.38</v>
      </c>
      <c r="E29" s="69">
        <f>VLOOKUP($A29, 'Sector Holdings'!$B$3:$I$130, 6, FALSE)</f>
        <v>561</v>
      </c>
      <c r="F29" s="65">
        <f t="shared" si="1"/>
        <v>55191.18</v>
      </c>
      <c r="G29" s="67">
        <f>VLOOKUP($A29, 'Sector Holdings'!$B$3:$I$130, 8, FALSE)</f>
        <v>0.02070429397</v>
      </c>
      <c r="H29" s="70" t="str">
        <f t="shared" si="2"/>
        <v>#N/A</v>
      </c>
    </row>
    <row r="30" ht="15.75" customHeight="1">
      <c r="A30" s="23" t="s">
        <v>107</v>
      </c>
      <c r="B30" s="23" t="str">
        <f>VLOOKUP(A30, 'Sector Holdings'!$B$3:$C$130, 2, FALSE)</f>
        <v>#N/A</v>
      </c>
      <c r="C30" s="23" t="s">
        <v>81</v>
      </c>
      <c r="D30" s="23" t="str">
        <f>VLOOKUP($A30, 'Sector Holdings'!$B$3:$H$130, 5, FALSE)</f>
        <v>#N/A</v>
      </c>
      <c r="E30" s="23" t="str">
        <f>VLOOKUP($A30, 'Sector Holdings'!$B$3:$I$130, 6, FALSE)</f>
        <v>#N/A</v>
      </c>
      <c r="F30" s="23" t="str">
        <f t="shared" si="1"/>
        <v>#N/A</v>
      </c>
      <c r="G30" s="23" t="str">
        <f>VLOOKUP($A30, 'Sector Holdings'!$B$3:$I$130, 8, FALSE)</f>
        <v>#N/A</v>
      </c>
      <c r="H30" s="30" t="str">
        <f t="shared" si="2"/>
        <v>#N/A</v>
      </c>
    </row>
    <row r="31" ht="15.75" customHeight="1">
      <c r="A31" s="23" t="s">
        <v>108</v>
      </c>
      <c r="B31" s="23" t="str">
        <f>VLOOKUP(A31, 'Sector Holdings'!$B$3:$C$130, 2, FALSE)</f>
        <v>#N/A</v>
      </c>
      <c r="C31" s="23" t="s">
        <v>81</v>
      </c>
      <c r="D31" s="23" t="str">
        <f>VLOOKUP($A31, 'Sector Holdings'!$B$3:$H$130, 5, FALSE)</f>
        <v>#N/A</v>
      </c>
      <c r="E31" s="23" t="str">
        <f>VLOOKUP($A31, 'Sector Holdings'!$B$3:$I$130, 6, FALSE)</f>
        <v>#N/A</v>
      </c>
      <c r="F31" s="23" t="str">
        <f t="shared" si="1"/>
        <v>#N/A</v>
      </c>
      <c r="G31" s="23" t="str">
        <f>VLOOKUP($A31, 'Sector Holdings'!$B$3:$I$130, 8, FALSE)</f>
        <v>#N/A</v>
      </c>
      <c r="H31" s="30" t="str">
        <f t="shared" si="2"/>
        <v>#N/A</v>
      </c>
    </row>
    <row r="32" ht="15.75" customHeight="1">
      <c r="A32" s="23" t="s">
        <v>109</v>
      </c>
      <c r="B32" s="23" t="str">
        <f>VLOOKUP(A32, 'Sector Holdings'!$B$3:$C$130, 2, FALSE)</f>
        <v>Thermo Fisher Scientific Inc.</v>
      </c>
      <c r="C32" s="23" t="s">
        <v>81</v>
      </c>
      <c r="D32" s="11">
        <f>VLOOKUP($A32, 'Sector Holdings'!$B$3:$H$130, 5, FALSE)</f>
        <v>509.54</v>
      </c>
      <c r="E32" s="49">
        <f>VLOOKUP($A32, 'Sector Holdings'!$B$3:$I$130, 6, FALSE)</f>
        <v>84</v>
      </c>
      <c r="F32" s="23">
        <f t="shared" si="1"/>
        <v>42801.36</v>
      </c>
      <c r="G32" s="19">
        <f>VLOOKUP($A32, 'Sector Holdings'!$B$3:$I$130, 8, FALSE)</f>
        <v>0.01605640502</v>
      </c>
      <c r="H32" s="30" t="str">
        <f t="shared" si="2"/>
        <v>#N/A</v>
      </c>
    </row>
    <row r="33" ht="15.75" customHeight="1">
      <c r="A33" s="23" t="s">
        <v>110</v>
      </c>
      <c r="B33" s="23" t="str">
        <f>VLOOKUP(A33, 'Sector Holdings'!$B$3:$C$130, 2, FALSE)</f>
        <v>UnitedHealth Group Inc</v>
      </c>
      <c r="C33" s="23" t="s">
        <v>81</v>
      </c>
      <c r="D33" s="11">
        <f>VLOOKUP($A33, 'Sector Holdings'!$B$3:$H$130, 5, FALSE)</f>
        <v>287.76</v>
      </c>
      <c r="E33" s="49">
        <f>VLOOKUP($A33, 'Sector Holdings'!$B$3:$I$130, 6, FALSE)</f>
        <v>224</v>
      </c>
      <c r="F33" s="23">
        <f t="shared" si="1"/>
        <v>64458.24</v>
      </c>
      <c r="G33" s="19">
        <f>VLOOKUP($A33, 'Sector Holdings'!$B$3:$I$130, 8, FALSE)</f>
        <v>0.02418071781</v>
      </c>
      <c r="H33" s="30" t="str">
        <f t="shared" si="2"/>
        <v>#N/A</v>
      </c>
    </row>
    <row r="34" ht="15.75" customHeight="1">
      <c r="A34" s="23" t="s">
        <v>111</v>
      </c>
      <c r="B34" s="23" t="str">
        <f>VLOOKUP(A34, 'Sector Holdings'!$B$3:$C$130, 2, FALSE)</f>
        <v>Merck &amp; Co Inc</v>
      </c>
      <c r="C34" s="23" t="s">
        <v>81</v>
      </c>
      <c r="D34" s="11">
        <f>VLOOKUP($A34, 'Sector Holdings'!$B$3:$H$130, 5, FALSE)</f>
        <v>123.15</v>
      </c>
      <c r="E34" s="49">
        <f>VLOOKUP($A34, 'Sector Holdings'!$B$3:$I$130, 6, FALSE)</f>
        <v>332</v>
      </c>
      <c r="F34" s="23">
        <f t="shared" si="1"/>
        <v>40885.8</v>
      </c>
      <c r="G34" s="19">
        <f>VLOOKUP($A34, 'Sector Holdings'!$B$3:$I$130, 8, FALSE)</f>
        <v>0.01533780619</v>
      </c>
      <c r="H34" s="30" t="str">
        <f t="shared" si="2"/>
        <v>#N/A</v>
      </c>
    </row>
    <row r="35" ht="15.75" customHeight="1">
      <c r="A35" s="23" t="s">
        <v>112</v>
      </c>
      <c r="B35" s="23" t="str">
        <f>VLOOKUP(A35, 'Sector Holdings'!$B$3:$C$130, 2, FALSE)</f>
        <v>Veeva Systems Inc.</v>
      </c>
      <c r="C35" s="23" t="s">
        <v>81</v>
      </c>
      <c r="D35" s="11">
        <f>VLOOKUP($A35, 'Sector Holdings'!$B$3:$H$130, 5, FALSE)</f>
        <v>174.01</v>
      </c>
      <c r="E35" s="49">
        <f>VLOOKUP($A35, 'Sector Holdings'!$B$3:$I$130, 6, FALSE)</f>
        <v>223</v>
      </c>
      <c r="F35" s="23">
        <f t="shared" si="1"/>
        <v>38804.23</v>
      </c>
      <c r="G35" s="19">
        <f>VLOOKUP($A35, 'Sector Holdings'!$B$3:$I$130, 8, FALSE)</f>
        <v>0.01455693075</v>
      </c>
      <c r="H35" s="30" t="str">
        <f t="shared" si="2"/>
        <v>#N/A</v>
      </c>
    </row>
    <row r="36" ht="15.75" customHeight="1">
      <c r="A36" s="23" t="s">
        <v>113</v>
      </c>
      <c r="B36" s="23" t="str">
        <f>VLOOKUP(A36, 'Sector Holdings'!$B$3:$C$130, 2, FALSE)</f>
        <v>#N/A</v>
      </c>
      <c r="C36" s="23" t="s">
        <v>81</v>
      </c>
      <c r="D36" s="23" t="str">
        <f>VLOOKUP($A36, 'Sector Holdings'!$B$3:$H$130, 5, FALSE)</f>
        <v>#N/A</v>
      </c>
      <c r="E36" s="23" t="str">
        <f>VLOOKUP($A36, 'Sector Holdings'!$B$3:$I$130, 6, FALSE)</f>
        <v>#N/A</v>
      </c>
      <c r="F36" s="23" t="str">
        <f t="shared" si="1"/>
        <v>#N/A</v>
      </c>
      <c r="G36" s="23" t="str">
        <f>VLOOKUP($A36, 'Sector Holdings'!$B$3:$I$130, 8, FALSE)</f>
        <v>#N/A</v>
      </c>
      <c r="H36" s="30" t="str">
        <f t="shared" si="2"/>
        <v>#N/A</v>
      </c>
    </row>
    <row r="37" ht="15.75" customHeight="1">
      <c r="A37" s="65" t="s">
        <v>114</v>
      </c>
      <c r="B37" s="65" t="str">
        <f>VLOOKUP(A37, 'Sector Holdings'!$B$3:$C$130, 2, FALSE)</f>
        <v>Air Products &amp; Chemicals, Inc.</v>
      </c>
      <c r="C37" s="65" t="s">
        <v>83</v>
      </c>
      <c r="D37" s="66">
        <f>VLOOKUP($A37, 'Sector Holdings'!$B$3:$H$130, 5, FALSE)</f>
        <v>281.66</v>
      </c>
      <c r="E37" s="69">
        <f>VLOOKUP($A37, 'Sector Holdings'!$B$3:$I$130, 6, FALSE)</f>
        <v>106</v>
      </c>
      <c r="F37" s="65">
        <f t="shared" si="1"/>
        <v>29855.96</v>
      </c>
      <c r="G37" s="67">
        <f>VLOOKUP($A37, 'Sector Holdings'!$B$3:$I$130, 8, FALSE)</f>
        <v>0.01120009705</v>
      </c>
      <c r="H37" s="70" t="str">
        <f t="shared" si="2"/>
        <v>#N/A</v>
      </c>
    </row>
    <row r="38" ht="15.75" customHeight="1">
      <c r="A38" s="65" t="s">
        <v>115</v>
      </c>
      <c r="B38" s="65" t="str">
        <f>VLOOKUP(A38, 'Sector Holdings'!$B$3:$C$130, 2, FALSE)</f>
        <v>#N/A</v>
      </c>
      <c r="C38" s="65" t="s">
        <v>83</v>
      </c>
      <c r="D38" s="66" t="str">
        <f>VLOOKUP($A38, 'Sector Holdings'!$B$3:$H$130, 5, FALSE)</f>
        <v>#N/A</v>
      </c>
      <c r="E38" s="69" t="str">
        <f>VLOOKUP($A38, 'Sector Holdings'!$B$3:$I$130, 6, FALSE)</f>
        <v>#N/A</v>
      </c>
      <c r="F38" s="65" t="str">
        <f t="shared" si="1"/>
        <v>#N/A</v>
      </c>
      <c r="G38" s="67" t="str">
        <f>VLOOKUP($A38, 'Sector Holdings'!$B$3:$I$130, 8, FALSE)</f>
        <v>#N/A</v>
      </c>
      <c r="H38" s="70" t="str">
        <f t="shared" si="2"/>
        <v>#N/A</v>
      </c>
    </row>
    <row r="39" ht="15.75" customHeight="1">
      <c r="A39" s="65" t="s">
        <v>116</v>
      </c>
      <c r="B39" s="65" t="str">
        <f>VLOOKUP(A39, 'Sector Holdings'!$B$3:$C$130, 2, FALSE)</f>
        <v>#N/A</v>
      </c>
      <c r="C39" s="65" t="s">
        <v>83</v>
      </c>
      <c r="D39" s="65" t="str">
        <f>VLOOKUP($A39, 'Sector Holdings'!$B$3:$H$130, 5, FALSE)</f>
        <v>#N/A</v>
      </c>
      <c r="E39" s="65" t="str">
        <f>VLOOKUP($A39, 'Sector Holdings'!$B$3:$I$130, 6, FALSE)</f>
        <v>#N/A</v>
      </c>
      <c r="F39" s="65" t="str">
        <f t="shared" si="1"/>
        <v>#N/A</v>
      </c>
      <c r="G39" s="65" t="str">
        <f>VLOOKUP($A39, 'Sector Holdings'!$B$3:$I$130, 8, FALSE)</f>
        <v>#N/A</v>
      </c>
      <c r="H39" s="70" t="str">
        <f t="shared" si="2"/>
        <v>#N/A</v>
      </c>
    </row>
    <row r="40" ht="15.75" customHeight="1">
      <c r="A40" s="65" t="s">
        <v>117</v>
      </c>
      <c r="B40" s="65" t="str">
        <f>VLOOKUP(A40, 'Sector Holdings'!$B$3:$C$130, 2, FALSE)</f>
        <v>#N/A</v>
      </c>
      <c r="C40" s="65" t="s">
        <v>83</v>
      </c>
      <c r="D40" s="65" t="str">
        <f>VLOOKUP($A40, 'Sector Holdings'!$B$3:$H$130, 5, FALSE)</f>
        <v>#N/A</v>
      </c>
      <c r="E40" s="65" t="str">
        <f>VLOOKUP($A40, 'Sector Holdings'!$B$3:$I$130, 6, FALSE)</f>
        <v>#N/A</v>
      </c>
      <c r="F40" s="65" t="str">
        <f t="shared" si="1"/>
        <v>#N/A</v>
      </c>
      <c r="G40" s="65" t="str">
        <f>VLOOKUP($A40, 'Sector Holdings'!$B$3:$I$130, 8, FALSE)</f>
        <v>#N/A</v>
      </c>
      <c r="H40" s="70" t="str">
        <f t="shared" si="2"/>
        <v>#N/A</v>
      </c>
    </row>
    <row r="41" ht="15.75" customHeight="1">
      <c r="A41" s="23" t="s">
        <v>118</v>
      </c>
      <c r="B41" s="23" t="str">
        <f>VLOOKUP(A41, 'Sector Holdings'!$B$3:$C$130, 2, FALSE)</f>
        <v>Prologis Inc.</v>
      </c>
      <c r="C41" s="23" t="s">
        <v>85</v>
      </c>
      <c r="D41" s="11">
        <f>VLOOKUP($A41, 'Sector Holdings'!$B$3:$H$130, 5, FALSE)</f>
        <v>141.1</v>
      </c>
      <c r="E41" s="49">
        <f>VLOOKUP($A41, 'Sector Holdings'!$B$3:$I$130, 6, FALSE)</f>
        <v>213</v>
      </c>
      <c r="F41" s="23">
        <f t="shared" si="1"/>
        <v>30054.3</v>
      </c>
      <c r="G41" s="19">
        <f>VLOOKUP($A41, 'Sector Holdings'!$B$3:$I$130, 8, FALSE)</f>
        <v>0.01127450187</v>
      </c>
      <c r="H41" s="30" t="str">
        <f t="shared" si="2"/>
        <v>#N/A</v>
      </c>
    </row>
    <row r="42" ht="15.75" customHeight="1">
      <c r="A42" s="23" t="s">
        <v>119</v>
      </c>
      <c r="B42" s="23" t="str">
        <f>VLOOKUP(A42, 'Sector Holdings'!$B$3:$C$130, 2, FALSE)</f>
        <v>#N/A</v>
      </c>
      <c r="C42" s="23" t="s">
        <v>85</v>
      </c>
      <c r="D42" s="23" t="str">
        <f>VLOOKUP($A42, 'Sector Holdings'!$B$3:$H$130, 5, FALSE)</f>
        <v>#N/A</v>
      </c>
      <c r="E42" s="23" t="str">
        <f>VLOOKUP($A42, 'Sector Holdings'!$B$3:$I$130, 6, FALSE)</f>
        <v>#N/A</v>
      </c>
      <c r="F42" s="23" t="str">
        <f t="shared" si="1"/>
        <v>#N/A</v>
      </c>
      <c r="G42" s="23" t="str">
        <f>VLOOKUP($A42, 'Sector Holdings'!$B$3:$I$130, 8, FALSE)</f>
        <v>#N/A</v>
      </c>
      <c r="H42" s="30" t="str">
        <f t="shared" si="2"/>
        <v>#N/A</v>
      </c>
    </row>
    <row r="43" ht="15.75" customHeight="1">
      <c r="A43" s="23" t="s">
        <v>120</v>
      </c>
      <c r="B43" s="23" t="str">
        <f>VLOOKUP(A43, 'Sector Holdings'!$B$3:$C$130, 2, FALSE)</f>
        <v>Agree Realty Corporation</v>
      </c>
      <c r="C43" s="23" t="s">
        <v>85</v>
      </c>
      <c r="D43" s="11">
        <f>VLOOKUP($A43, 'Sector Holdings'!$B$3:$H$130, 5, FALSE)</f>
        <v>79.23</v>
      </c>
      <c r="E43" s="49">
        <f>VLOOKUP($A43, 'Sector Holdings'!$B$3:$I$130, 6, FALSE)</f>
        <v>161</v>
      </c>
      <c r="F43" s="23">
        <f t="shared" si="1"/>
        <v>12756.03</v>
      </c>
      <c r="G43" s="19">
        <f>VLOOKUP($A43, 'Sector Holdings'!$B$3:$I$130, 8, FALSE)</f>
        <v>0.004785268134</v>
      </c>
      <c r="H43" s="30" t="str">
        <f t="shared" si="2"/>
        <v>#N/A</v>
      </c>
    </row>
    <row r="44" ht="15.75" customHeight="1">
      <c r="A44" s="23" t="s">
        <v>121</v>
      </c>
      <c r="B44" s="23" t="str">
        <f>VLOOKUP(A44, 'Sector Holdings'!$B$3:$C$130, 2, FALSE)</f>
        <v>#N/A</v>
      </c>
      <c r="C44" s="23" t="s">
        <v>85</v>
      </c>
      <c r="D44" s="23" t="str">
        <f>VLOOKUP($A44, 'Sector Holdings'!$B$3:$H$130, 5, FALSE)</f>
        <v>#N/A</v>
      </c>
      <c r="E44" s="23" t="str">
        <f>VLOOKUP($A44, 'Sector Holdings'!$B$3:$I$130, 6, FALSE)</f>
        <v>#N/A</v>
      </c>
      <c r="F44" s="23" t="str">
        <f t="shared" si="1"/>
        <v>#N/A</v>
      </c>
      <c r="G44" s="23" t="str">
        <f>VLOOKUP($A44, 'Sector Holdings'!$B$3:$I$130, 8, FALSE)</f>
        <v>#N/A</v>
      </c>
      <c r="H44" s="30" t="str">
        <f t="shared" si="2"/>
        <v>#N/A</v>
      </c>
    </row>
    <row r="45" ht="15.75" customHeight="1">
      <c r="A45" s="65" t="s">
        <v>122</v>
      </c>
      <c r="B45" s="65" t="str">
        <f>VLOOKUP(A45, 'Sector Holdings'!$B$3:$C$130, 2, FALSE)</f>
        <v>#N/A</v>
      </c>
      <c r="C45" s="65" t="s">
        <v>87</v>
      </c>
      <c r="D45" s="66" t="str">
        <f>VLOOKUP($A45, 'Sector Holdings'!$B$3:$H$130, 5, FALSE)</f>
        <v>#N/A</v>
      </c>
      <c r="E45" s="69" t="str">
        <f>VLOOKUP($A45, 'Sector Holdings'!$B$3:$I$130, 6, FALSE)</f>
        <v>#N/A</v>
      </c>
      <c r="F45" s="65" t="str">
        <f t="shared" si="1"/>
        <v>#N/A</v>
      </c>
      <c r="G45" s="67" t="str">
        <f>VLOOKUP($A45, 'Sector Holdings'!$B$3:$I$130, 8, FALSE)</f>
        <v>#N/A</v>
      </c>
      <c r="H45" s="70" t="str">
        <f t="shared" si="2"/>
        <v>#N/A</v>
      </c>
    </row>
    <row r="46" ht="15.75" customHeight="1">
      <c r="A46" s="65" t="s">
        <v>123</v>
      </c>
      <c r="B46" s="65" t="str">
        <f>VLOOKUP(A46, 'Sector Holdings'!$B$3:$C$130, 2, FALSE)</f>
        <v>Microsoft</v>
      </c>
      <c r="C46" s="65" t="s">
        <v>87</v>
      </c>
      <c r="D46" s="66">
        <f>VLOOKUP($A46, 'Sector Holdings'!$B$3:$H$130, 5, FALSE)</f>
        <v>386.77</v>
      </c>
      <c r="E46" s="69">
        <f>VLOOKUP($A46, 'Sector Holdings'!$B$3:$I$130, 6, FALSE)</f>
        <v>241</v>
      </c>
      <c r="F46" s="65">
        <f t="shared" si="1"/>
        <v>93211.57</v>
      </c>
      <c r="G46" s="67">
        <f>VLOOKUP($A46, 'Sector Holdings'!$B$3:$I$130, 8, FALSE)</f>
        <v>0.03496717675</v>
      </c>
      <c r="H46" s="70" t="str">
        <f t="shared" si="2"/>
        <v>#N/A</v>
      </c>
    </row>
    <row r="47" ht="15.75" customHeight="1">
      <c r="A47" s="65" t="s">
        <v>124</v>
      </c>
      <c r="B47" s="65" t="str">
        <f>VLOOKUP(A47, 'Sector Holdings'!$B$3:$C$130, 2, FALSE)</f>
        <v>Applied Materials, Inc.</v>
      </c>
      <c r="C47" s="65" t="s">
        <v>87</v>
      </c>
      <c r="D47" s="66">
        <f>VLOOKUP($A47, 'Sector Holdings'!$B$3:$H$130, 5, FALSE)</f>
        <v>373.74</v>
      </c>
      <c r="E47" s="69">
        <f>VLOOKUP($A47, 'Sector Holdings'!$B$3:$I$130, 6, FALSE)</f>
        <v>297</v>
      </c>
      <c r="F47" s="65">
        <f t="shared" si="1"/>
        <v>111000.78</v>
      </c>
      <c r="G47" s="67">
        <f>VLOOKUP($A47, 'Sector Holdings'!$B$3:$I$130, 8, FALSE)</f>
        <v>0.04164058061</v>
      </c>
      <c r="H47" s="70" t="str">
        <f t="shared" si="2"/>
        <v>#N/A</v>
      </c>
    </row>
    <row r="48" ht="15.75" customHeight="1">
      <c r="A48" s="65" t="s">
        <v>125</v>
      </c>
      <c r="B48" s="72" t="str">
        <f>VLOOKUP(A48, 'Sector Holdings'!$B$3:$C$130, 2, FALSE)</f>
        <v>#N/A</v>
      </c>
      <c r="C48" s="65" t="s">
        <v>87</v>
      </c>
      <c r="D48" s="65" t="str">
        <f>VLOOKUP($A48, 'Sector Holdings'!$B$3:$H$130, 5, FALSE)</f>
        <v>#N/A</v>
      </c>
      <c r="E48" s="65" t="str">
        <f>VLOOKUP($A48, 'Sector Holdings'!$B$3:$I$130, 6, FALSE)</f>
        <v>#N/A</v>
      </c>
      <c r="F48" s="65" t="str">
        <f t="shared" si="1"/>
        <v>#N/A</v>
      </c>
      <c r="G48" s="65" t="str">
        <f>VLOOKUP($A48, 'Sector Holdings'!$B$3:$I$130, 8, FALSE)</f>
        <v>#N/A</v>
      </c>
      <c r="H48" s="70" t="str">
        <f t="shared" si="2"/>
        <v>#N/A</v>
      </c>
    </row>
    <row r="49" ht="15.75" customHeight="1">
      <c r="A49" s="65" t="s">
        <v>126</v>
      </c>
      <c r="B49" s="65" t="str">
        <f>VLOOKUP(A49, 'Sector Holdings'!$B$3:$C$130, 2, FALSE)</f>
        <v>Synopsys Inc.</v>
      </c>
      <c r="C49" s="65" t="s">
        <v>87</v>
      </c>
      <c r="D49" s="66">
        <f>VLOOKUP($A49, 'Sector Holdings'!$B$3:$H$130, 5, FALSE)</f>
        <v>419.98</v>
      </c>
      <c r="E49" s="69">
        <f>VLOOKUP($A49, 'Sector Holdings'!$B$3:$I$130, 6, FALSE)</f>
        <v>184</v>
      </c>
      <c r="F49" s="65">
        <f t="shared" si="1"/>
        <v>77276.32</v>
      </c>
      <c r="G49" s="67">
        <f>VLOOKUP($A49, 'Sector Holdings'!$B$3:$I$130, 8, FALSE)</f>
        <v>0.02898926325</v>
      </c>
      <c r="H49" s="70" t="str">
        <f t="shared" si="2"/>
        <v>#N/A</v>
      </c>
    </row>
    <row r="50" ht="15.75" customHeight="1">
      <c r="A50" s="65" t="s">
        <v>127</v>
      </c>
      <c r="B50" s="65" t="str">
        <f>VLOOKUP(A50, 'Sector Holdings'!$B$3:$C$130, 2, FALSE)</f>
        <v>#N/A</v>
      </c>
      <c r="C50" s="65" t="s">
        <v>87</v>
      </c>
      <c r="D50" s="65" t="str">
        <f>VLOOKUP($A50, 'Sector Holdings'!$B$3:$H$130, 5, FALSE)</f>
        <v>#N/A</v>
      </c>
      <c r="E50" s="65" t="str">
        <f>VLOOKUP($A50, 'Sector Holdings'!$B$3:$I$130, 6, FALSE)</f>
        <v>#N/A</v>
      </c>
      <c r="F50" s="65" t="str">
        <f t="shared" si="1"/>
        <v>#N/A</v>
      </c>
      <c r="G50" s="65" t="str">
        <f>VLOOKUP($A50, 'Sector Holdings'!$B$3:$I$130, 8, FALSE)</f>
        <v>#N/A</v>
      </c>
      <c r="H50" s="70" t="str">
        <f t="shared" si="2"/>
        <v>#N/A</v>
      </c>
    </row>
    <row r="51" ht="15.75" customHeight="1">
      <c r="A51" s="65" t="s">
        <v>128</v>
      </c>
      <c r="B51" s="65" t="str">
        <f>VLOOKUP(A51, 'Sector Holdings'!$B$3:$C$130, 2, FALSE)</f>
        <v>Constellation Software</v>
      </c>
      <c r="C51" s="65" t="s">
        <v>87</v>
      </c>
      <c r="D51" s="66">
        <f>VLOOKUP($A51, 'Sector Holdings'!$B$3:$H$130, 5, FALSE)</f>
        <v>1774.93</v>
      </c>
      <c r="E51" s="69">
        <f>VLOOKUP($A51, 'Sector Holdings'!$B$3:$I$130, 6, FALSE)</f>
        <v>26</v>
      </c>
      <c r="F51" s="65">
        <f t="shared" si="1"/>
        <v>46148.18</v>
      </c>
      <c r="G51" s="67">
        <f>VLOOKUP($A51, 'Sector Holdings'!$B$3:$I$130, 8, FALSE)</f>
        <v>0.01731192348</v>
      </c>
      <c r="H51" s="70" t="str">
        <f t="shared" si="2"/>
        <v>#N/A</v>
      </c>
    </row>
    <row r="52" ht="15.75" customHeight="1">
      <c r="A52" s="23" t="s">
        <v>129</v>
      </c>
      <c r="B52" s="23" t="str">
        <f>VLOOKUP(A52, 'Sector Holdings'!$B$3:$C$130, 2, FALSE)</f>
        <v>#N/A</v>
      </c>
      <c r="C52" s="23" t="s">
        <v>89</v>
      </c>
      <c r="D52" s="23" t="str">
        <f>VLOOKUP($A52, 'Sector Holdings'!$B$3:$H$130, 5, FALSE)</f>
        <v>#N/A</v>
      </c>
      <c r="E52" s="23" t="str">
        <f>VLOOKUP($A52, 'Sector Holdings'!$B$3:$I$130, 6, FALSE)</f>
        <v>#N/A</v>
      </c>
      <c r="F52" s="23" t="str">
        <f t="shared" si="1"/>
        <v>#N/A</v>
      </c>
      <c r="G52" s="23" t="str">
        <f>VLOOKUP($A52, 'Sector Holdings'!$B$3:$I$130, 8, FALSE)</f>
        <v>#N/A</v>
      </c>
      <c r="H52" s="30" t="str">
        <f t="shared" si="2"/>
        <v>#N/A</v>
      </c>
    </row>
    <row r="53" ht="15.75" customHeight="1">
      <c r="A53" s="23" t="s">
        <v>130</v>
      </c>
      <c r="B53" s="23" t="str">
        <f>VLOOKUP(A53, 'Sector Holdings'!$B$3:$C$130, 2, FALSE)</f>
        <v>Alphabet Inc</v>
      </c>
      <c r="C53" s="23" t="s">
        <v>89</v>
      </c>
      <c r="D53" s="11">
        <f>VLOOKUP($A53, 'Sector Holdings'!$B$3:$H$130, 5, FALSE)</f>
        <v>314.7</v>
      </c>
      <c r="E53" s="49">
        <f>VLOOKUP($A53, 'Sector Holdings'!$B$3:$I$130, 6, FALSE)</f>
        <v>380</v>
      </c>
      <c r="F53" s="23">
        <f t="shared" si="1"/>
        <v>119586</v>
      </c>
      <c r="G53" s="19">
        <f>VLOOKUP($A53, 'Sector Holdings'!$B$3:$I$130, 8, FALSE)</f>
        <v>0.04486122055</v>
      </c>
      <c r="H53" s="30" t="str">
        <f t="shared" si="2"/>
        <v>#N/A</v>
      </c>
    </row>
    <row r="54" ht="15.75" customHeight="1">
      <c r="A54" s="23" t="s">
        <v>131</v>
      </c>
      <c r="B54" s="23" t="str">
        <f>VLOOKUP(A54, 'Sector Holdings'!$B$3:$C$130, 2, FALSE)</f>
        <v>#N/A</v>
      </c>
      <c r="C54" s="23" t="s">
        <v>89</v>
      </c>
      <c r="D54" s="23" t="str">
        <f>VLOOKUP($A54, 'Sector Holdings'!$B$3:$H$130, 5, FALSE)</f>
        <v>#N/A</v>
      </c>
      <c r="E54" s="23" t="str">
        <f>VLOOKUP($A54, 'Sector Holdings'!$B$3:$I$130, 6, FALSE)</f>
        <v>#N/A</v>
      </c>
      <c r="F54" s="23" t="str">
        <f t="shared" si="1"/>
        <v>#N/A</v>
      </c>
      <c r="G54" s="23" t="str">
        <f>VLOOKUP($A54, 'Sector Holdings'!$B$3:$I$130, 8, FALSE)</f>
        <v>#N/A</v>
      </c>
      <c r="H54" s="30" t="str">
        <f t="shared" si="2"/>
        <v>#N/A</v>
      </c>
    </row>
    <row r="55" ht="15.75" customHeight="1">
      <c r="A55" s="23" t="s">
        <v>132</v>
      </c>
      <c r="B55" s="23" t="str">
        <f>VLOOKUP(A55, 'Sector Holdings'!$B$3:$C$130, 2, FALSE)</f>
        <v>Meta Platforms, Inc.</v>
      </c>
      <c r="C55" s="23" t="s">
        <v>89</v>
      </c>
      <c r="D55" s="11">
        <f>VLOOKUP($A55, 'Sector Holdings'!$B$3:$H$130, 5, FALSE)</f>
        <v>645.4</v>
      </c>
      <c r="E55" s="49">
        <f>VLOOKUP($A55, 'Sector Holdings'!$B$3:$I$130, 6, FALSE)</f>
        <v>153</v>
      </c>
      <c r="F55" s="23">
        <f t="shared" si="1"/>
        <v>98746.2</v>
      </c>
      <c r="G55" s="19">
        <f>VLOOKUP($A55, 'Sector Holdings'!$B$3:$I$130, 8, FALSE)</f>
        <v>0.03704342529</v>
      </c>
      <c r="H55" s="30" t="str">
        <f t="shared" si="2"/>
        <v>#N/A</v>
      </c>
    </row>
    <row r="56" ht="15.75" customHeight="1">
      <c r="A56" s="65" t="s">
        <v>133</v>
      </c>
      <c r="B56" s="65" t="str">
        <f>VLOOKUP(A56, 'Sector Holdings'!$B$3:$C$130, 2, FALSE)</f>
        <v>NextEra Energy Inc</v>
      </c>
      <c r="C56" s="65" t="s">
        <v>91</v>
      </c>
      <c r="D56" s="66">
        <f>VLOOKUP($A56, 'Sector Holdings'!$B$3:$H$130, 5, FALSE)</f>
        <v>93.55</v>
      </c>
      <c r="E56" s="69">
        <f>VLOOKUP($A56, 'Sector Holdings'!$B$3:$I$130, 6, FALSE)</f>
        <v>156</v>
      </c>
      <c r="F56" s="65">
        <f t="shared" si="1"/>
        <v>14593.8</v>
      </c>
      <c r="G56" s="67">
        <f>VLOOKUP($A56, 'Sector Holdings'!$B$3:$I$130, 8, FALSE)</f>
        <v>0.005474685</v>
      </c>
      <c r="H56" s="70" t="str">
        <f t="shared" si="2"/>
        <v>#N/A</v>
      </c>
    </row>
    <row r="57" ht="15.75" customHeight="1">
      <c r="A57" s="65" t="s">
        <v>134</v>
      </c>
      <c r="B57" s="65" t="str">
        <f>VLOOKUP(A57, 'Sector Holdings'!$B$3:$C$130, 2, FALSE)</f>
        <v>Constellation Energy Corp</v>
      </c>
      <c r="C57" s="65" t="s">
        <v>91</v>
      </c>
      <c r="D57" s="66">
        <f>VLOOKUP($A57, 'Sector Holdings'!$B$3:$H$130, 5, FALSE)</f>
        <v>296.07</v>
      </c>
      <c r="E57" s="69">
        <f>VLOOKUP($A57, 'Sector Holdings'!$B$3:$I$130, 6, FALSE)</f>
        <v>86</v>
      </c>
      <c r="F57" s="65">
        <f t="shared" si="1"/>
        <v>25462.02</v>
      </c>
      <c r="G57" s="67">
        <f>VLOOKUP($A57, 'Sector Holdings'!$B$3:$I$130, 8, FALSE)</f>
        <v>0.009551764377</v>
      </c>
      <c r="H57" s="70" t="str">
        <f t="shared" si="2"/>
        <v>#N/A</v>
      </c>
    </row>
    <row r="58" ht="15.75" customHeight="1">
      <c r="A58" s="65" t="s">
        <v>135</v>
      </c>
      <c r="B58" s="65" t="str">
        <f>VLOOKUP(A58, 'Sector Holdings'!$B$3:$C$130, 2, FALSE)</f>
        <v>#N/A</v>
      </c>
      <c r="C58" s="65" t="s">
        <v>91</v>
      </c>
      <c r="D58" s="65" t="str">
        <f>VLOOKUP($A58, 'Sector Holdings'!$B$3:$H$130, 5, FALSE)</f>
        <v>#N/A</v>
      </c>
      <c r="E58" s="65" t="str">
        <f>VLOOKUP($A58, 'Sector Holdings'!$B$3:$I$130, 6, FALSE)</f>
        <v>#N/A</v>
      </c>
      <c r="F58" s="65" t="str">
        <f t="shared" si="1"/>
        <v>#N/A</v>
      </c>
      <c r="G58" s="65" t="str">
        <f>VLOOKUP($A58, 'Sector Holdings'!$B$3:$I$130, 8, FALSE)</f>
        <v>#N/A</v>
      </c>
      <c r="H58" s="70" t="str">
        <f t="shared" si="2"/>
        <v>#N/A</v>
      </c>
    </row>
    <row r="59" ht="15.75" customHeight="1">
      <c r="A59" s="23" t="s">
        <v>18</v>
      </c>
      <c r="B59" s="23" t="str">
        <f>VLOOKUP(A59, 'Sector Holdings'!$B$3:$C$130, 2, FALSE)</f>
        <v>#N/A</v>
      </c>
      <c r="C59" s="23" t="s">
        <v>17</v>
      </c>
      <c r="D59" s="23" t="str">
        <f>VLOOKUP($A59, 'Sector Holdings'!$B$3:$H$130, 5, FALSE)</f>
        <v>#N/A</v>
      </c>
      <c r="E59" s="23" t="str">
        <f>VLOOKUP($A59, 'Sector Holdings'!$B$3:$I$130, 6, FALSE)</f>
        <v>#N/A</v>
      </c>
      <c r="F59" s="23" t="str">
        <f t="shared" si="1"/>
        <v>#N/A</v>
      </c>
      <c r="G59" s="23" t="str">
        <f>VLOOKUP($A59, 'Sector Holdings'!$B$3:$I$130, 8, FALSE)</f>
        <v>#N/A</v>
      </c>
      <c r="H59" s="30" t="str">
        <f t="shared" si="2"/>
        <v>#N/A</v>
      </c>
    </row>
    <row r="60" ht="15.75" customHeight="1">
      <c r="A60" s="23" t="s">
        <v>20</v>
      </c>
      <c r="B60" s="23" t="str">
        <f>VLOOKUP(A60, 'Sector Holdings'!$B$3:$C$130, 2, FALSE)</f>
        <v>#N/A</v>
      </c>
      <c r="C60" s="23" t="s">
        <v>17</v>
      </c>
      <c r="D60" s="23" t="str">
        <f>VLOOKUP($A60, 'Sector Holdings'!$B$3:$H$130, 5, FALSE)</f>
        <v>#N/A</v>
      </c>
      <c r="E60" s="23" t="str">
        <f>VLOOKUP($A60, 'Sector Holdings'!$B$3:$I$130, 6, FALSE)</f>
        <v>#N/A</v>
      </c>
      <c r="F60" s="23" t="str">
        <f t="shared" si="1"/>
        <v>#N/A</v>
      </c>
      <c r="G60" s="23" t="str">
        <f>VLOOKUP($A60, 'Sector Holdings'!$B$3:$I$130, 8, FALSE)</f>
        <v>#N/A</v>
      </c>
      <c r="H60" s="30" t="str">
        <f t="shared" si="2"/>
        <v>#N/A</v>
      </c>
    </row>
    <row r="61" ht="15.75" customHeight="1">
      <c r="A61" s="23" t="s">
        <v>22</v>
      </c>
      <c r="B61" s="23" t="str">
        <f>VLOOKUP(A61, 'Sector Holdings'!$B$3:$C$130, 2, FALSE)</f>
        <v>FFCB Corp. 2.25 12/18/29</v>
      </c>
      <c r="C61" s="23" t="s">
        <v>17</v>
      </c>
      <c r="D61" s="11">
        <f>VLOOKUP($A61, 'Sector Holdings'!$B$3:$H$130, 5, FALSE)</f>
        <v>939.38</v>
      </c>
      <c r="E61" s="49">
        <f>VLOOKUP($A61, 'Sector Holdings'!$B$3:$I$130, 6, FALSE)</f>
        <v>25</v>
      </c>
      <c r="F61" s="23">
        <f t="shared" si="1"/>
        <v>23484.5</v>
      </c>
      <c r="G61" s="19">
        <f>VLOOKUP($A61, 'Sector Holdings'!$B$3:$I$130, 8, FALSE)</f>
        <v>0.008809922013</v>
      </c>
      <c r="H61" s="30" t="str">
        <f t="shared" si="2"/>
        <v>#N/A</v>
      </c>
    </row>
    <row r="62" ht="15.75" customHeight="1">
      <c r="A62" s="23" t="s">
        <v>23</v>
      </c>
      <c r="B62" s="23" t="str">
        <f>VLOOKUP(A62, 'Sector Holdings'!$B$3:$C$130, 2, FALSE)</f>
        <v>MOS 7.3 01/15/28 Corp</v>
      </c>
      <c r="C62" s="23" t="s">
        <v>17</v>
      </c>
      <c r="D62" s="11">
        <f>VLOOKUP($A62, 'Sector Holdings'!$B$3:$H$130, 5, FALSE)</f>
        <v>1066.26</v>
      </c>
      <c r="E62" s="49">
        <f>VLOOKUP($A62, 'Sector Holdings'!$B$3:$I$130, 6, FALSE)</f>
        <v>25</v>
      </c>
      <c r="F62" s="23">
        <f t="shared" si="1"/>
        <v>26656.5</v>
      </c>
      <c r="G62" s="19">
        <f>VLOOKUP($A62, 'Sector Holdings'!$B$3:$I$130, 8, FALSE)</f>
        <v>0.009999858892</v>
      </c>
      <c r="H62" s="30" t="str">
        <f t="shared" si="2"/>
        <v>#N/A</v>
      </c>
    </row>
    <row r="63" ht="15.75" customHeight="1">
      <c r="A63" s="23" t="s">
        <v>24</v>
      </c>
      <c r="B63" s="23" t="str">
        <f>VLOOKUP(A63, 'Sector Holdings'!$B$3:$C$130, 2, FALSE)</f>
        <v>BTI 4.448 03/16/28 Corp</v>
      </c>
      <c r="C63" s="23" t="s">
        <v>17</v>
      </c>
      <c r="D63" s="11">
        <f>VLOOKUP($A63, 'Sector Holdings'!$B$3:$H$130, 5, FALSE)</f>
        <v>1008.34</v>
      </c>
      <c r="E63" s="49">
        <f>VLOOKUP($A63, 'Sector Holdings'!$B$3:$I$130, 6, FALSE)</f>
        <v>29</v>
      </c>
      <c r="F63" s="23">
        <f t="shared" si="1"/>
        <v>29241.86</v>
      </c>
      <c r="G63" s="19">
        <f>VLOOKUP($A63, 'Sector Holdings'!$B$3:$I$130, 8, FALSE)</f>
        <v>0.01096972497</v>
      </c>
      <c r="H63" s="30" t="str">
        <f t="shared" si="2"/>
        <v>#N/A</v>
      </c>
    </row>
    <row r="64" ht="15.75" customHeight="1">
      <c r="A64" s="23" t="s">
        <v>26</v>
      </c>
      <c r="B64" s="23" t="str">
        <f>VLOOKUP(A64, 'Sector Holdings'!$B$3:$C$130, 2, FALSE)</f>
        <v>#N/A</v>
      </c>
      <c r="C64" s="23" t="s">
        <v>17</v>
      </c>
      <c r="D64" s="23" t="str">
        <f>VLOOKUP($A64, 'Sector Holdings'!$B$3:$H$130, 5, FALSE)</f>
        <v>#N/A</v>
      </c>
      <c r="E64" s="23" t="str">
        <f>VLOOKUP($A64, 'Sector Holdings'!$B$3:$I$130, 6, FALSE)</f>
        <v>#N/A</v>
      </c>
      <c r="F64" s="23" t="str">
        <f t="shared" si="1"/>
        <v>#N/A</v>
      </c>
      <c r="G64" s="23" t="str">
        <f>VLOOKUP($A64, 'Sector Holdings'!$B$3:$I$130, 8, FALSE)</f>
        <v>#N/A</v>
      </c>
      <c r="H64" s="30" t="str">
        <f t="shared" si="2"/>
        <v>#N/A</v>
      </c>
    </row>
    <row r="65" ht="15.75" customHeight="1">
      <c r="A65" s="23" t="s">
        <v>28</v>
      </c>
      <c r="B65" s="23" t="str">
        <f>VLOOKUP(A65, 'Sector Holdings'!$B$3:$C$130, 2, FALSE)</f>
        <v>#N/A</v>
      </c>
      <c r="C65" s="23" t="s">
        <v>17</v>
      </c>
      <c r="D65" s="23" t="str">
        <f>VLOOKUP($A65, 'Sector Holdings'!$B$3:$H$130, 5, FALSE)</f>
        <v>#N/A</v>
      </c>
      <c r="E65" s="23" t="str">
        <f>VLOOKUP($A65, 'Sector Holdings'!$B$3:$I$130, 6, FALSE)</f>
        <v>#N/A</v>
      </c>
      <c r="F65" s="23" t="str">
        <f t="shared" si="1"/>
        <v>#N/A</v>
      </c>
      <c r="G65" s="23" t="str">
        <f>VLOOKUP($A65, 'Sector Holdings'!$B$3:$I$130, 8, FALSE)</f>
        <v>#N/A</v>
      </c>
      <c r="H65" s="30" t="str">
        <f t="shared" si="2"/>
        <v>#N/A</v>
      </c>
    </row>
    <row r="66" ht="15.75" customHeight="1">
      <c r="A66" s="65" t="s">
        <v>136</v>
      </c>
      <c r="B66" s="65" t="str">
        <f>VLOOKUP($A66, OFFSET('Sector Holdings'!$A$1:$M$19, MATCH("Quant", 'Sector Holdings'!$A$1:$A$130, 0), 1), 2, FALSE)</f>
        <v>#N/A</v>
      </c>
      <c r="C66" s="65" t="s">
        <v>137</v>
      </c>
      <c r="D66" s="65" t="str">
        <f>VLOOKUP($A66, 'Sector Holdings'!$B$3:$H$130, 5, FALSE)</f>
        <v>#N/A</v>
      </c>
      <c r="E66" s="65" t="str">
        <f>VLOOKUP($A66, OFFSET('Sector Holdings'!$A$1:$M$19, MATCH("Quant", 'Sector Holdings'!$A$1:$A$130, 0), 1), 6, FALSE)</f>
        <v>#N/A</v>
      </c>
      <c r="F66" s="65" t="str">
        <f t="shared" si="1"/>
        <v>#N/A</v>
      </c>
      <c r="G66" s="65" t="str">
        <f>VLOOKUP($A66, OFFSET('Sector Holdings'!$A$1:$M$19, MATCH("Quant", 'Sector Holdings'!$A$1:$A$130, 0), 1), 8, FALSE)</f>
        <v>#N/A</v>
      </c>
      <c r="H66" s="70" t="str">
        <f t="shared" si="2"/>
        <v>#N/A</v>
      </c>
    </row>
    <row r="67" ht="15.75" customHeight="1">
      <c r="A67" s="65" t="s">
        <v>138</v>
      </c>
      <c r="B67" s="65" t="str">
        <f>VLOOKUP($A67, OFFSET('Sector Holdings'!$A$1:$M$19, MATCH("Quant", 'Sector Holdings'!$A$1:$A$130, 0), 1), 2, FALSE)</f>
        <v>#N/A</v>
      </c>
      <c r="C67" s="65" t="s">
        <v>137</v>
      </c>
      <c r="D67" s="66" t="str">
        <f>VLOOKUP($A67, 'Sector Holdings'!$B$3:$H$130, 5, FALSE)</f>
        <v>#N/A</v>
      </c>
      <c r="E67" s="69" t="str">
        <f>VLOOKUP($A67, OFFSET('Sector Holdings'!$A$1:$M$19, MATCH("Quant", 'Sector Holdings'!$A$1:$A$130, 0), 1), 6, FALSE)</f>
        <v>#N/A</v>
      </c>
      <c r="F67" s="65" t="str">
        <f t="shared" si="1"/>
        <v>#N/A</v>
      </c>
      <c r="G67" s="67" t="str">
        <f>VLOOKUP($A67, OFFSET('Sector Holdings'!$A$1:$M$19, MATCH("Quant", 'Sector Holdings'!$A$1:$A$130, 0), 1), 8, FALSE)</f>
        <v>#N/A</v>
      </c>
      <c r="H67" s="70" t="str">
        <f t="shared" si="2"/>
        <v>#N/A</v>
      </c>
    </row>
    <row r="68" ht="15.75" customHeight="1">
      <c r="A68" s="65" t="s">
        <v>139</v>
      </c>
      <c r="B68" s="65" t="str">
        <f>VLOOKUP($A68, OFFSET('Sector Holdings'!$A$1:$M$19, MATCH("Quant", 'Sector Holdings'!$A$1:$A$130, 0), 1), 2, FALSE)</f>
        <v>#N/A</v>
      </c>
      <c r="C68" s="65" t="s">
        <v>137</v>
      </c>
      <c r="D68" s="65" t="str">
        <f>VLOOKUP($A68, 'Sector Holdings'!$B$3:$H$130, 5, FALSE)</f>
        <v>#N/A</v>
      </c>
      <c r="E68" s="65" t="str">
        <f>VLOOKUP($A68, OFFSET('Sector Holdings'!$A$1:$M$19, MATCH("Quant", 'Sector Holdings'!$A$1:$A$130, 0), 1), 6, FALSE)</f>
        <v>#N/A</v>
      </c>
      <c r="F68" s="65" t="str">
        <f t="shared" si="1"/>
        <v>#N/A</v>
      </c>
      <c r="G68" s="65" t="str">
        <f>VLOOKUP($A68, OFFSET('Sector Holdings'!$A$1:$M$19, MATCH("Quant", 'Sector Holdings'!$A$1:$A$130, 0), 1), 8, FALSE)</f>
        <v>#N/A</v>
      </c>
      <c r="H68" s="70" t="str">
        <f t="shared" si="2"/>
        <v>#N/A</v>
      </c>
    </row>
    <row r="69" ht="15.75" customHeight="1">
      <c r="A69" s="65" t="s">
        <v>140</v>
      </c>
      <c r="B69" s="65" t="str">
        <f>VLOOKUP($A69, OFFSET('Sector Holdings'!$A$1:$M$19, MATCH("Quant", 'Sector Holdings'!$A$1:$A$130, 0), 1), 2, FALSE)</f>
        <v>#N/A</v>
      </c>
      <c r="C69" s="65" t="s">
        <v>137</v>
      </c>
      <c r="D69" s="66" t="str">
        <f>VLOOKUP($A69, 'Sector Holdings'!$B$3:$H$130, 5, FALSE)</f>
        <v>#N/A</v>
      </c>
      <c r="E69" s="69" t="str">
        <f>VLOOKUP($A69, OFFSET('Sector Holdings'!$A$1:$M$19, MATCH("Quant", 'Sector Holdings'!$A$1:$A$130, 0), 1), 6, FALSE)</f>
        <v>#N/A</v>
      </c>
      <c r="F69" s="65" t="str">
        <f t="shared" si="1"/>
        <v>#N/A</v>
      </c>
      <c r="G69" s="67" t="str">
        <f>VLOOKUP($A69, OFFSET('Sector Holdings'!$A$1:$M$19, MATCH("Quant", 'Sector Holdings'!$A$1:$A$130, 0), 1), 8, FALSE)</f>
        <v>#N/A</v>
      </c>
      <c r="H69" s="70" t="str">
        <f t="shared" si="2"/>
        <v>#N/A</v>
      </c>
    </row>
    <row r="70" ht="15.75" customHeight="1">
      <c r="A70" s="65" t="s">
        <v>141</v>
      </c>
      <c r="B70" s="65" t="str">
        <f>VLOOKUP($A70, OFFSET('Sector Holdings'!$A$1:$M$19, MATCH("Quant", 'Sector Holdings'!$A$1:$A$130, 0), 1), 2, FALSE)</f>
        <v>#N/A</v>
      </c>
      <c r="C70" s="65" t="s">
        <v>137</v>
      </c>
      <c r="D70" s="65" t="str">
        <f>VLOOKUP($A70, 'Sector Holdings'!$B$3:$H$130, 5, FALSE)</f>
        <v>#N/A</v>
      </c>
      <c r="E70" s="65" t="str">
        <f>VLOOKUP($A70, OFFSET('Sector Holdings'!$A$1:$M$19, MATCH("Quant", 'Sector Holdings'!$A$1:$A$130, 0), 1), 6, FALSE)</f>
        <v>#N/A</v>
      </c>
      <c r="F70" s="65" t="str">
        <f t="shared" si="1"/>
        <v>#N/A</v>
      </c>
      <c r="G70" s="65" t="str">
        <f>VLOOKUP($A70, OFFSET('Sector Holdings'!$A$1:$M$19, MATCH("Quant", 'Sector Holdings'!$A$1:$A$130, 0), 1), 8, FALSE)</f>
        <v>#N/A</v>
      </c>
      <c r="H70" s="70" t="str">
        <f t="shared" si="2"/>
        <v>#N/A</v>
      </c>
    </row>
    <row r="71" ht="15.75" customHeight="1">
      <c r="A71" s="23" t="s">
        <v>142</v>
      </c>
      <c r="B71" s="23" t="str">
        <f>VLOOKUP($A71, OFFSET('Sector Holdings'!$A$1:$M$19, MATCH("Quant", 'Sector Holdings'!$A$1:$A$130, 0), 1), 2, FALSE)</f>
        <v>#N/A</v>
      </c>
      <c r="C71" s="23" t="s">
        <v>143</v>
      </c>
      <c r="D71" s="23" t="str">
        <f>VLOOKUP($A71, 'Sector Holdings'!$B$3:$H$130, 5, FALSE)</f>
        <v>#N/A</v>
      </c>
      <c r="E71" s="23" t="str">
        <f>VLOOKUP($A71, OFFSET('Sector Holdings'!$A$1:$M$19, MATCH("Quant", 'Sector Holdings'!$A$1:$A$130, 0), 1), 6, FALSE)</f>
        <v>#N/A</v>
      </c>
      <c r="F71" s="23" t="str">
        <f t="shared" si="1"/>
        <v>#N/A</v>
      </c>
      <c r="G71" s="23" t="str">
        <f>VLOOKUP($A71, OFFSET('Sector Holdings'!$A$1:$M$19, MATCH("Quant", 'Sector Holdings'!$A$1:$A$130, 0), 1), 8, FALSE)</f>
        <v>#N/A</v>
      </c>
      <c r="H71" s="30" t="str">
        <f t="shared" si="2"/>
        <v>#N/A</v>
      </c>
    </row>
    <row r="72" ht="15.75" customHeight="1">
      <c r="A72" s="23" t="s">
        <v>144</v>
      </c>
      <c r="B72" s="23" t="str">
        <f>VLOOKUP($A72, OFFSET('Sector Holdings'!$A$1:$M$19, MATCH("Quant", 'Sector Holdings'!$A$1:$A$130, 0), 1), 2, FALSE)</f>
        <v>Archer-Daniels-Midland Co</v>
      </c>
      <c r="C72" s="23" t="s">
        <v>143</v>
      </c>
      <c r="D72" s="11">
        <f>VLOOKUP($A72, 'Sector Holdings'!$B$3:$H$130, 5, FALSE)</f>
        <v>67.98</v>
      </c>
      <c r="E72" s="49">
        <f>VLOOKUP($A72, OFFSET('Sector Holdings'!$A$1:$M$19, MATCH("Quant", 'Sector Holdings'!$A$1:$A$130, 0), 1), 6, FALSE)</f>
        <v>59</v>
      </c>
      <c r="F72" s="23">
        <f t="shared" si="1"/>
        <v>4010.82</v>
      </c>
      <c r="G72" s="19">
        <f>VLOOKUP($A72, OFFSET('Sector Holdings'!$A$1:$M$19, MATCH("Quant", 'Sector Holdings'!$A$1:$A$130, 0), 1), 8, FALSE)</f>
        <v>0.001504609909</v>
      </c>
      <c r="H72" s="30" t="str">
        <f t="shared" si="2"/>
        <v>#N/A</v>
      </c>
    </row>
    <row r="73" ht="15.75" customHeight="1">
      <c r="A73" s="23" t="s">
        <v>145</v>
      </c>
      <c r="B73" s="23" t="str">
        <f>VLOOKUP($A73, OFFSET('Sector Holdings'!$A$1:$M$19, MATCH("Quant", 'Sector Holdings'!$A$1:$A$130, 0), 1), 2, FALSE)</f>
        <v>#N/A</v>
      </c>
      <c r="C73" s="23" t="s">
        <v>143</v>
      </c>
      <c r="D73" s="23" t="str">
        <f>VLOOKUP($A73, 'Sector Holdings'!$B$3:$H$130, 5, FALSE)</f>
        <v>#N/A</v>
      </c>
      <c r="E73" s="23" t="str">
        <f>VLOOKUP($A73, OFFSET('Sector Holdings'!$A$1:$M$19, MATCH("Quant", 'Sector Holdings'!$A$1:$A$130, 0), 1), 6, FALSE)</f>
        <v>#N/A</v>
      </c>
      <c r="F73" s="23" t="str">
        <f t="shared" si="1"/>
        <v>#N/A</v>
      </c>
      <c r="G73" s="23" t="str">
        <f>VLOOKUP($A73, OFFSET('Sector Holdings'!$A$1:$M$19, MATCH("Quant", 'Sector Holdings'!$A$1:$A$130, 0), 1), 8, FALSE)</f>
        <v>#N/A</v>
      </c>
      <c r="H73" s="30" t="str">
        <f t="shared" si="2"/>
        <v>#N/A</v>
      </c>
    </row>
    <row r="74" ht="15.75" customHeight="1">
      <c r="A74" s="23" t="s">
        <v>146</v>
      </c>
      <c r="B74" s="23" t="str">
        <f>VLOOKUP($A74, OFFSET('Sector Holdings'!$A$1:$M$19, MATCH("Quant", 'Sector Holdings'!$A$1:$A$130, 0), 1), 2, FALSE)</f>
        <v>#N/A</v>
      </c>
      <c r="C74" s="23" t="s">
        <v>143</v>
      </c>
      <c r="D74" s="23" t="str">
        <f>VLOOKUP($A74, 'Sector Holdings'!$B$3:$H$130, 5, FALSE)</f>
        <v>#N/A</v>
      </c>
      <c r="E74" s="23" t="str">
        <f>VLOOKUP($A74, OFFSET('Sector Holdings'!$A$1:$M$19, MATCH("Quant", 'Sector Holdings'!$A$1:$A$130, 0), 1), 6, FALSE)</f>
        <v>#N/A</v>
      </c>
      <c r="F74" s="23" t="str">
        <f t="shared" si="1"/>
        <v>#N/A</v>
      </c>
      <c r="G74" s="23" t="str">
        <f>VLOOKUP($A74, OFFSET('Sector Holdings'!$A$1:$M$19, MATCH("Quant", 'Sector Holdings'!$A$1:$A$130, 0), 1), 8, FALSE)</f>
        <v>#N/A</v>
      </c>
      <c r="H74" s="30" t="str">
        <f t="shared" si="2"/>
        <v>#N/A</v>
      </c>
      <c r="J74" s="23"/>
    </row>
    <row r="75" ht="15.75" customHeight="1">
      <c r="A75" s="23" t="s">
        <v>147</v>
      </c>
      <c r="B75" s="23" t="str">
        <f>VLOOKUP($A75, OFFSET('Sector Holdings'!$A$1:$M$19, MATCH("Quant", 'Sector Holdings'!$A$1:$A$130, 0), 1), 2, FALSE)</f>
        <v>#N/A</v>
      </c>
      <c r="C75" s="23" t="s">
        <v>143</v>
      </c>
      <c r="D75" s="23" t="str">
        <f>VLOOKUP($A75, 'Sector Holdings'!$B$3:$H$130, 5, FALSE)</f>
        <v>#N/A</v>
      </c>
      <c r="E75" s="23" t="str">
        <f>VLOOKUP($A75, OFFSET('Sector Holdings'!$A$1:$M$19, MATCH("Quant", 'Sector Holdings'!$A$1:$A$130, 0), 1), 6, FALSE)</f>
        <v>#N/A</v>
      </c>
      <c r="F75" s="23" t="str">
        <f t="shared" si="1"/>
        <v>#N/A</v>
      </c>
      <c r="G75" s="23" t="str">
        <f>VLOOKUP($A75, OFFSET('Sector Holdings'!$A$1:$M$19, MATCH("Quant", 'Sector Holdings'!$A$1:$A$130, 0), 1), 8, FALSE)</f>
        <v>#N/A</v>
      </c>
      <c r="H75" s="30" t="str">
        <f t="shared" si="2"/>
        <v>#N/A</v>
      </c>
    </row>
    <row r="76" ht="15.75" customHeight="1">
      <c r="A76" s="23" t="s">
        <v>148</v>
      </c>
      <c r="B76" s="23" t="str">
        <f>VLOOKUP($A76, OFFSET('Sector Holdings'!$A$1:$M$19, MATCH("Quant", 'Sector Holdings'!$A$1:$A$130, 0), 1), 2, FALSE)</f>
        <v>#N/A</v>
      </c>
      <c r="C76" s="23" t="s">
        <v>143</v>
      </c>
      <c r="D76" s="23" t="str">
        <f>VLOOKUP($A76, 'Sector Holdings'!$B$3:$H$130, 5, FALSE)</f>
        <v>#N/A</v>
      </c>
      <c r="E76" s="23" t="str">
        <f>VLOOKUP($A76, OFFSET('Sector Holdings'!$A$1:$M$19, MATCH("Quant", 'Sector Holdings'!$A$1:$A$130, 0), 1), 6, FALSE)</f>
        <v>#N/A</v>
      </c>
      <c r="F76" s="23" t="str">
        <f t="shared" si="1"/>
        <v>#N/A</v>
      </c>
      <c r="G76" s="23" t="str">
        <f>VLOOKUP($A76, OFFSET('Sector Holdings'!$A$1:$M$19, MATCH("Quant", 'Sector Holdings'!$A$1:$A$130, 0), 1), 8, FALSE)</f>
        <v>#N/A</v>
      </c>
      <c r="H76" s="30" t="str">
        <f t="shared" si="2"/>
        <v>#N/A</v>
      </c>
    </row>
    <row r="77" ht="15.75" customHeight="1">
      <c r="A77" s="23" t="s">
        <v>97</v>
      </c>
      <c r="B77" s="23" t="str">
        <f>VLOOKUP($A77, OFFSET('Sector Holdings'!$A$1:$M$19, MATCH("Quant", 'Sector Holdings'!$A$1:$A$130, 0), 1), 2, FALSE)</f>
        <v>#N/A</v>
      </c>
      <c r="C77" s="23" t="s">
        <v>143</v>
      </c>
      <c r="D77" s="11">
        <f>VLOOKUP($A77, 'Sector Holdings'!$B$3:$H$130, 5, FALSE)</f>
        <v>185.24</v>
      </c>
      <c r="E77" s="23" t="str">
        <f>VLOOKUP($A77, OFFSET('Sector Holdings'!$A$1:$M$19, MATCH("Quant", 'Sector Holdings'!$A$1:$A$130, 0), 1), 6, FALSE)</f>
        <v>#N/A</v>
      </c>
      <c r="F77" s="23" t="str">
        <f t="shared" si="1"/>
        <v>#N/A</v>
      </c>
      <c r="G77" s="23" t="str">
        <f>VLOOKUP($A77, OFFSET('Sector Holdings'!$A$1:$M$19, MATCH("Quant", 'Sector Holdings'!$A$1:$A$130, 0), 1), 8, FALSE)</f>
        <v>#N/A</v>
      </c>
      <c r="H77" s="30" t="str">
        <f t="shared" si="2"/>
        <v>#N/A</v>
      </c>
    </row>
    <row r="78" ht="15.75" customHeight="1">
      <c r="A78" s="23" t="s">
        <v>149</v>
      </c>
      <c r="B78" s="23" t="str">
        <f>VLOOKUP($A78, OFFSET('Sector Holdings'!$A$1:$M$19, MATCH("Quant", 'Sector Holdings'!$A$1:$A$130, 0), 1), 2, FALSE)</f>
        <v>#N/A</v>
      </c>
      <c r="C78" s="23" t="s">
        <v>143</v>
      </c>
      <c r="D78" s="23" t="str">
        <f>VLOOKUP($A78, 'Sector Holdings'!$B$3:$H$130, 5, FALSE)</f>
        <v>#N/A</v>
      </c>
      <c r="E78" s="23" t="str">
        <f>VLOOKUP($A78, OFFSET('Sector Holdings'!$A$1:$M$19, MATCH("Quant", 'Sector Holdings'!$A$1:$A$130, 0), 1), 6, FALSE)</f>
        <v>#N/A</v>
      </c>
      <c r="F78" s="23" t="str">
        <f t="shared" si="1"/>
        <v>#N/A</v>
      </c>
      <c r="G78" s="23" t="str">
        <f>VLOOKUP($A78, OFFSET('Sector Holdings'!$A$1:$M$19, MATCH("Quant", 'Sector Holdings'!$A$1:$A$130, 0), 1), 8, FALSE)</f>
        <v>#N/A</v>
      </c>
      <c r="H78" s="30" t="str">
        <f t="shared" si="2"/>
        <v>#N/A</v>
      </c>
    </row>
    <row r="79" ht="15.75" customHeight="1">
      <c r="A79" s="23" t="s">
        <v>150</v>
      </c>
      <c r="B79" s="23" t="str">
        <f>VLOOKUP($A79, OFFSET('Sector Holdings'!$A$1:$M$19, MATCH("Quant", 'Sector Holdings'!$A$1:$A$130, 0), 1), 2, FALSE)</f>
        <v>#N/A</v>
      </c>
      <c r="C79" s="23" t="s">
        <v>143</v>
      </c>
      <c r="D79" s="23" t="str">
        <f>VLOOKUP($A79, 'Sector Holdings'!$B$3:$H$130, 5, FALSE)</f>
        <v>#N/A</v>
      </c>
      <c r="E79" s="23" t="str">
        <f>VLOOKUP($A79, OFFSET('Sector Holdings'!$A$1:$M$19, MATCH("Quant", 'Sector Holdings'!$A$1:$A$130, 0), 1), 6, FALSE)</f>
        <v>#N/A</v>
      </c>
      <c r="F79" s="23" t="str">
        <f t="shared" si="1"/>
        <v>#N/A</v>
      </c>
      <c r="G79" s="23" t="str">
        <f>VLOOKUP($A79, OFFSET('Sector Holdings'!$A$1:$M$19, MATCH("Quant", 'Sector Holdings'!$A$1:$A$130, 0), 1), 8, FALSE)</f>
        <v>#N/A</v>
      </c>
      <c r="H79" s="30" t="str">
        <f t="shared" si="2"/>
        <v>#N/A</v>
      </c>
    </row>
    <row r="80" ht="15.75" customHeight="1">
      <c r="A80" s="23" t="s">
        <v>151</v>
      </c>
      <c r="B80" s="23" t="str">
        <f>VLOOKUP($A80, OFFSET('Sector Holdings'!$A$1:$M$19, MATCH("Quant", 'Sector Holdings'!$A$1:$A$130, 0), 1), 2, FALSE)</f>
        <v>#N/A</v>
      </c>
      <c r="C80" s="23" t="s">
        <v>143</v>
      </c>
      <c r="D80" s="23" t="str">
        <f>VLOOKUP($A80, 'Sector Holdings'!$B$3:$H$130, 5, FALSE)</f>
        <v>#N/A</v>
      </c>
      <c r="E80" s="23" t="str">
        <f>VLOOKUP($A80, OFFSET('Sector Holdings'!$A$1:$M$19, MATCH("Quant", 'Sector Holdings'!$A$1:$A$130, 0), 1), 6, FALSE)</f>
        <v>#N/A</v>
      </c>
      <c r="F80" s="23" t="str">
        <f t="shared" si="1"/>
        <v>#N/A</v>
      </c>
      <c r="G80" s="23" t="str">
        <f>VLOOKUP($A80, OFFSET('Sector Holdings'!$A$1:$M$19, MATCH("Quant", 'Sector Holdings'!$A$1:$A$130, 0), 1), 8, FALSE)</f>
        <v>#N/A</v>
      </c>
      <c r="H80" s="30" t="str">
        <f t="shared" si="2"/>
        <v>#N/A</v>
      </c>
    </row>
    <row r="81" ht="15.75" customHeight="1">
      <c r="F81" s="23"/>
      <c r="H81" s="39"/>
    </row>
    <row r="82" ht="15.75" customHeight="1">
      <c r="F82" s="23"/>
      <c r="H82" s="39"/>
    </row>
    <row r="83" ht="15.75" customHeight="1">
      <c r="F83" s="23"/>
      <c r="H83" s="39"/>
    </row>
    <row r="84" ht="15.75" customHeight="1">
      <c r="F84" s="23"/>
      <c r="H84" s="39"/>
    </row>
    <row r="85" ht="15.75" customHeight="1">
      <c r="F85" s="23"/>
      <c r="H85" s="39"/>
    </row>
    <row r="86" ht="15.75" customHeight="1">
      <c r="F86" s="23"/>
      <c r="H86" s="39"/>
    </row>
    <row r="87" ht="15.75" customHeight="1">
      <c r="F87" s="23"/>
      <c r="H87" s="39"/>
    </row>
    <row r="88" ht="15.75" customHeight="1">
      <c r="F88" s="23"/>
      <c r="H88" s="39"/>
    </row>
    <row r="89" ht="15.75" customHeight="1">
      <c r="F89" s="23"/>
      <c r="H89" s="39"/>
    </row>
    <row r="90" ht="15.75" customHeight="1">
      <c r="F90" s="23"/>
      <c r="H90" s="39"/>
    </row>
    <row r="91" ht="15.75" customHeight="1">
      <c r="F91" s="23"/>
      <c r="H91" s="39"/>
    </row>
    <row r="92" ht="15.75" customHeight="1">
      <c r="F92" s="23"/>
      <c r="H92" s="39"/>
    </row>
    <row r="93" ht="15.75" customHeight="1">
      <c r="F93" s="23"/>
      <c r="H93" s="39"/>
    </row>
    <row r="94" ht="15.75" customHeight="1">
      <c r="F94" s="23"/>
      <c r="H94" s="39"/>
    </row>
    <row r="95" ht="15.75" customHeight="1">
      <c r="F95" s="23"/>
      <c r="H95" s="39"/>
    </row>
    <row r="96" ht="15.75" customHeight="1">
      <c r="F96" s="23"/>
      <c r="H96" s="39"/>
    </row>
    <row r="97" ht="15.75" customHeight="1">
      <c r="F97" s="23"/>
      <c r="H97" s="39"/>
    </row>
    <row r="98" ht="15.75" customHeight="1">
      <c r="F98" s="23"/>
      <c r="H98" s="39"/>
    </row>
    <row r="99" ht="15.75" customHeight="1">
      <c r="F99" s="23"/>
      <c r="H99" s="39"/>
    </row>
    <row r="100" ht="15.75" customHeight="1">
      <c r="F100" s="23"/>
      <c r="H100" s="39"/>
    </row>
    <row r="101" ht="15.75" customHeight="1">
      <c r="F101" s="23"/>
      <c r="H101" s="39"/>
    </row>
    <row r="102" ht="15.75" customHeight="1">
      <c r="F102" s="23"/>
      <c r="H102" s="39"/>
    </row>
    <row r="103" ht="15.75" customHeight="1">
      <c r="F103" s="23"/>
      <c r="H103" s="39"/>
    </row>
    <row r="104" ht="15.75" customHeight="1">
      <c r="F104" s="23"/>
      <c r="H104" s="39"/>
    </row>
    <row r="105" ht="15.75" customHeight="1">
      <c r="F105" s="23"/>
      <c r="H105" s="39"/>
    </row>
    <row r="106" ht="15.75" customHeight="1">
      <c r="F106" s="23"/>
      <c r="H106" s="39"/>
    </row>
    <row r="107" ht="15.75" customHeight="1">
      <c r="F107" s="23"/>
      <c r="H107" s="39"/>
    </row>
    <row r="108" ht="15.75" customHeight="1">
      <c r="F108" s="23"/>
      <c r="H108" s="39"/>
    </row>
    <row r="109" ht="15.75" customHeight="1">
      <c r="F109" s="23"/>
      <c r="H109" s="39"/>
    </row>
    <row r="110" ht="15.75" customHeight="1">
      <c r="F110" s="23"/>
      <c r="H110" s="39"/>
    </row>
    <row r="111" ht="15.75" customHeight="1">
      <c r="F111" s="23"/>
      <c r="H111" s="39"/>
    </row>
    <row r="112" ht="15.75" customHeight="1">
      <c r="F112" s="23"/>
      <c r="H112" s="39"/>
    </row>
    <row r="113" ht="15.75" customHeight="1">
      <c r="F113" s="23"/>
      <c r="H113" s="39"/>
    </row>
    <row r="114" ht="15.75" customHeight="1">
      <c r="F114" s="23"/>
      <c r="H114" s="39"/>
    </row>
    <row r="115" ht="15.75" customHeight="1">
      <c r="F115" s="23"/>
      <c r="H115" s="39"/>
    </row>
    <row r="116" ht="15.75" customHeight="1">
      <c r="F116" s="23"/>
      <c r="H116" s="39"/>
    </row>
    <row r="117" ht="15.75" customHeight="1">
      <c r="F117" s="23"/>
      <c r="H117" s="39"/>
    </row>
    <row r="118" ht="15.75" customHeight="1">
      <c r="F118" s="23"/>
      <c r="H118" s="39"/>
    </row>
    <row r="119" ht="15.75" customHeight="1">
      <c r="F119" s="23"/>
      <c r="H119" s="39"/>
    </row>
    <row r="120" ht="15.75" customHeight="1">
      <c r="F120" s="23"/>
      <c r="H120" s="39"/>
    </row>
    <row r="121" ht="15.75" customHeight="1">
      <c r="F121" s="23"/>
      <c r="H121" s="39"/>
    </row>
    <row r="122" ht="15.75" customHeight="1">
      <c r="F122" s="23"/>
      <c r="H122" s="39"/>
    </row>
    <row r="123" ht="15.75" customHeight="1">
      <c r="F123" s="23"/>
      <c r="H123" s="39"/>
    </row>
    <row r="124" ht="15.75" customHeight="1">
      <c r="F124" s="23"/>
      <c r="H124" s="39"/>
    </row>
    <row r="125" ht="15.75" customHeight="1">
      <c r="F125" s="23"/>
      <c r="H125" s="39"/>
    </row>
    <row r="126" ht="15.75" customHeight="1">
      <c r="F126" s="23"/>
      <c r="H126" s="39"/>
    </row>
    <row r="127" ht="15.75" customHeight="1">
      <c r="F127" s="23"/>
      <c r="H127" s="39"/>
    </row>
    <row r="128" ht="15.75" customHeight="1">
      <c r="F128" s="23"/>
      <c r="H128" s="39"/>
    </row>
    <row r="129" ht="15.75" customHeight="1">
      <c r="F129" s="23"/>
      <c r="H129" s="39"/>
    </row>
    <row r="130" ht="15.75" customHeight="1">
      <c r="F130" s="23"/>
      <c r="H130" s="39"/>
    </row>
    <row r="131" ht="15.75" customHeight="1">
      <c r="F131" s="23"/>
      <c r="H131" s="39"/>
    </row>
    <row r="132" ht="15.75" customHeight="1">
      <c r="F132" s="23"/>
      <c r="H132" s="39"/>
    </row>
    <row r="133" ht="15.75" customHeight="1">
      <c r="F133" s="23"/>
      <c r="H133" s="39"/>
    </row>
    <row r="134" ht="15.75" customHeight="1">
      <c r="F134" s="23"/>
      <c r="H134" s="39"/>
    </row>
    <row r="135" ht="15.75" customHeight="1">
      <c r="F135" s="23"/>
      <c r="H135" s="39"/>
    </row>
    <row r="136" ht="15.75" customHeight="1">
      <c r="F136" s="23"/>
      <c r="H136" s="39"/>
    </row>
    <row r="137" ht="15.75" customHeight="1">
      <c r="F137" s="23"/>
      <c r="H137" s="39"/>
    </row>
    <row r="138" ht="15.75" customHeight="1">
      <c r="F138" s="23"/>
      <c r="H138" s="39"/>
    </row>
    <row r="139" ht="15.75" customHeight="1">
      <c r="F139" s="23"/>
      <c r="H139" s="39"/>
    </row>
    <row r="140" ht="15.75" customHeight="1">
      <c r="F140" s="23"/>
      <c r="H140" s="39"/>
    </row>
    <row r="141" ht="15.75" customHeight="1">
      <c r="F141" s="23"/>
      <c r="H141" s="39"/>
    </row>
    <row r="142" ht="15.75" customHeight="1">
      <c r="F142" s="23"/>
      <c r="H142" s="39"/>
    </row>
    <row r="143" ht="15.75" customHeight="1">
      <c r="F143" s="23"/>
      <c r="H143" s="39"/>
    </row>
    <row r="144" ht="15.75" customHeight="1">
      <c r="F144" s="23"/>
      <c r="H144" s="39"/>
    </row>
    <row r="145" ht="15.75" customHeight="1">
      <c r="F145" s="23"/>
      <c r="H145" s="39"/>
    </row>
    <row r="146" ht="15.75" customHeight="1">
      <c r="F146" s="23"/>
      <c r="H146" s="39"/>
    </row>
    <row r="147" ht="15.75" customHeight="1">
      <c r="F147" s="23"/>
      <c r="H147" s="39"/>
    </row>
    <row r="148" ht="15.75" customHeight="1">
      <c r="F148" s="23"/>
      <c r="H148" s="39"/>
    </row>
    <row r="149" ht="15.75" customHeight="1">
      <c r="F149" s="23"/>
      <c r="H149" s="39"/>
    </row>
    <row r="150" ht="15.75" customHeight="1">
      <c r="F150" s="23"/>
      <c r="H150" s="39"/>
    </row>
    <row r="151" ht="15.75" customHeight="1">
      <c r="F151" s="23"/>
      <c r="H151" s="39"/>
    </row>
    <row r="152" ht="15.75" customHeight="1">
      <c r="F152" s="23"/>
      <c r="H152" s="39"/>
    </row>
    <row r="153" ht="15.75" customHeight="1">
      <c r="F153" s="23"/>
      <c r="H153" s="39"/>
    </row>
    <row r="154" ht="15.75" customHeight="1">
      <c r="F154" s="23"/>
      <c r="H154" s="39"/>
    </row>
    <row r="155" ht="15.75" customHeight="1">
      <c r="F155" s="23"/>
      <c r="H155" s="39"/>
    </row>
    <row r="156" ht="15.75" customHeight="1">
      <c r="F156" s="23"/>
      <c r="H156" s="39"/>
    </row>
    <row r="157" ht="15.75" customHeight="1">
      <c r="F157" s="23"/>
      <c r="H157" s="39"/>
    </row>
    <row r="158" ht="15.75" customHeight="1">
      <c r="F158" s="23"/>
      <c r="H158" s="39"/>
    </row>
    <row r="159" ht="15.75" customHeight="1">
      <c r="F159" s="23"/>
      <c r="H159" s="39"/>
    </row>
    <row r="160" ht="15.75" customHeight="1">
      <c r="F160" s="23"/>
      <c r="H160" s="39"/>
    </row>
    <row r="161" ht="15.75" customHeight="1">
      <c r="F161" s="23"/>
      <c r="H161" s="39"/>
    </row>
    <row r="162" ht="15.75" customHeight="1">
      <c r="F162" s="23"/>
      <c r="H162" s="39"/>
    </row>
    <row r="163" ht="15.75" customHeight="1">
      <c r="F163" s="23"/>
      <c r="H163" s="39"/>
    </row>
    <row r="164" ht="15.75" customHeight="1">
      <c r="F164" s="23"/>
      <c r="H164" s="39"/>
    </row>
    <row r="165" ht="15.75" customHeight="1">
      <c r="F165" s="23"/>
      <c r="H165" s="39"/>
    </row>
    <row r="166" ht="15.75" customHeight="1">
      <c r="F166" s="23"/>
      <c r="H166" s="39"/>
    </row>
    <row r="167" ht="15.75" customHeight="1">
      <c r="F167" s="23"/>
      <c r="H167" s="39"/>
    </row>
    <row r="168" ht="15.75" customHeight="1">
      <c r="F168" s="23"/>
      <c r="H168" s="39"/>
    </row>
    <row r="169" ht="15.75" customHeight="1">
      <c r="F169" s="23"/>
      <c r="H169" s="39"/>
    </row>
    <row r="170" ht="15.75" customHeight="1">
      <c r="F170" s="23"/>
      <c r="H170" s="39"/>
    </row>
    <row r="171" ht="15.75" customHeight="1">
      <c r="F171" s="23"/>
      <c r="H171" s="39"/>
    </row>
    <row r="172" ht="15.75" customHeight="1">
      <c r="F172" s="23"/>
      <c r="H172" s="39"/>
    </row>
    <row r="173" ht="15.75" customHeight="1">
      <c r="F173" s="23"/>
      <c r="H173" s="39"/>
    </row>
    <row r="174" ht="15.75" customHeight="1">
      <c r="F174" s="23"/>
      <c r="H174" s="39"/>
    </row>
    <row r="175" ht="15.75" customHeight="1">
      <c r="F175" s="23"/>
      <c r="H175" s="39"/>
    </row>
    <row r="176" ht="15.75" customHeight="1">
      <c r="F176" s="23"/>
      <c r="H176" s="39"/>
    </row>
    <row r="177" ht="15.75" customHeight="1">
      <c r="F177" s="23"/>
      <c r="H177" s="39"/>
    </row>
    <row r="178" ht="15.75" customHeight="1">
      <c r="F178" s="23"/>
      <c r="H178" s="39"/>
    </row>
    <row r="179" ht="15.75" customHeight="1">
      <c r="F179" s="23"/>
      <c r="H179" s="39"/>
    </row>
    <row r="180" ht="15.75" customHeight="1">
      <c r="F180" s="23"/>
      <c r="H180" s="39"/>
    </row>
    <row r="181" ht="15.75" customHeight="1">
      <c r="F181" s="23"/>
      <c r="H181" s="39"/>
    </row>
    <row r="182" ht="15.75" customHeight="1">
      <c r="F182" s="23"/>
      <c r="H182" s="39"/>
    </row>
    <row r="183" ht="15.75" customHeight="1">
      <c r="F183" s="23"/>
      <c r="H183" s="39"/>
    </row>
    <row r="184" ht="15.75" customHeight="1">
      <c r="F184" s="23"/>
      <c r="H184" s="39"/>
    </row>
    <row r="185" ht="15.75" customHeight="1">
      <c r="F185" s="23"/>
      <c r="H185" s="39"/>
    </row>
    <row r="186" ht="15.75" customHeight="1">
      <c r="F186" s="23"/>
      <c r="H186" s="39"/>
    </row>
    <row r="187" ht="15.75" customHeight="1">
      <c r="F187" s="23"/>
      <c r="H187" s="39"/>
    </row>
    <row r="188" ht="15.75" customHeight="1">
      <c r="F188" s="23"/>
      <c r="H188" s="39"/>
    </row>
    <row r="189" ht="15.75" customHeight="1">
      <c r="F189" s="23"/>
      <c r="H189" s="39"/>
    </row>
    <row r="190" ht="15.75" customHeight="1">
      <c r="F190" s="23"/>
      <c r="H190" s="39"/>
    </row>
    <row r="191" ht="15.75" customHeight="1">
      <c r="F191" s="23"/>
      <c r="H191" s="39"/>
    </row>
    <row r="192" ht="15.75" customHeight="1">
      <c r="F192" s="23"/>
      <c r="H192" s="39"/>
    </row>
    <row r="193" ht="15.75" customHeight="1">
      <c r="F193" s="23"/>
      <c r="H193" s="39"/>
    </row>
    <row r="194" ht="15.75" customHeight="1">
      <c r="F194" s="23"/>
      <c r="H194" s="39"/>
    </row>
    <row r="195" ht="15.75" customHeight="1">
      <c r="F195" s="23"/>
      <c r="H195" s="39"/>
    </row>
    <row r="196" ht="15.75" customHeight="1">
      <c r="F196" s="23"/>
      <c r="H196" s="39"/>
    </row>
    <row r="197" ht="15.75" customHeight="1">
      <c r="F197" s="23"/>
      <c r="H197" s="39"/>
    </row>
    <row r="198" ht="15.75" customHeight="1">
      <c r="F198" s="23"/>
      <c r="H198" s="39"/>
    </row>
    <row r="199" ht="15.75" customHeight="1">
      <c r="F199" s="23"/>
      <c r="H199" s="39"/>
    </row>
    <row r="200" ht="15.75" customHeight="1">
      <c r="F200" s="23"/>
      <c r="H200" s="39"/>
    </row>
    <row r="201" ht="15.75" customHeight="1">
      <c r="F201" s="23"/>
      <c r="H201" s="39"/>
    </row>
    <row r="202" ht="15.75" customHeight="1">
      <c r="F202" s="23"/>
      <c r="H202" s="39"/>
    </row>
    <row r="203" ht="15.75" customHeight="1">
      <c r="F203" s="23"/>
      <c r="H203" s="39"/>
    </row>
    <row r="204" ht="15.75" customHeight="1">
      <c r="F204" s="23"/>
      <c r="H204" s="39"/>
    </row>
    <row r="205" ht="15.75" customHeight="1">
      <c r="F205" s="23"/>
      <c r="H205" s="39"/>
    </row>
    <row r="206" ht="15.75" customHeight="1">
      <c r="F206" s="23"/>
      <c r="H206" s="39"/>
    </row>
    <row r="207" ht="15.75" customHeight="1">
      <c r="F207" s="23"/>
      <c r="H207" s="39"/>
    </row>
    <row r="208" ht="15.75" customHeight="1">
      <c r="F208" s="23"/>
      <c r="H208" s="39"/>
    </row>
    <row r="209" ht="15.75" customHeight="1">
      <c r="F209" s="23"/>
      <c r="H209" s="39"/>
    </row>
    <row r="210" ht="15.75" customHeight="1">
      <c r="F210" s="23"/>
      <c r="H210" s="39"/>
    </row>
    <row r="211" ht="15.75" customHeight="1">
      <c r="F211" s="23"/>
      <c r="H211" s="39"/>
    </row>
    <row r="212" ht="15.75" customHeight="1">
      <c r="F212" s="23"/>
      <c r="H212" s="39"/>
    </row>
    <row r="213" ht="15.75" customHeight="1">
      <c r="F213" s="23"/>
      <c r="H213" s="39"/>
    </row>
    <row r="214" ht="15.75" customHeight="1">
      <c r="F214" s="23"/>
      <c r="H214" s="39"/>
    </row>
    <row r="215" ht="15.75" customHeight="1">
      <c r="F215" s="23"/>
      <c r="H215" s="39"/>
    </row>
    <row r="216" ht="15.75" customHeight="1">
      <c r="F216" s="23"/>
      <c r="H216" s="39"/>
    </row>
    <row r="217" ht="15.75" customHeight="1">
      <c r="F217" s="23"/>
      <c r="H217" s="39"/>
    </row>
    <row r="218" ht="15.75" customHeight="1">
      <c r="F218" s="23"/>
      <c r="H218" s="39"/>
    </row>
    <row r="219" ht="15.75" customHeight="1">
      <c r="F219" s="23"/>
      <c r="H219" s="39"/>
    </row>
    <row r="220" ht="15.75" customHeight="1">
      <c r="F220" s="23"/>
      <c r="H220" s="39"/>
    </row>
    <row r="221" ht="15.75" customHeight="1">
      <c r="F221" s="23"/>
      <c r="H221" s="39"/>
    </row>
    <row r="222" ht="15.75" customHeight="1">
      <c r="F222" s="23"/>
      <c r="H222" s="39"/>
    </row>
    <row r="223" ht="15.75" customHeight="1">
      <c r="F223" s="23"/>
      <c r="H223" s="39"/>
    </row>
    <row r="224" ht="15.75" customHeight="1">
      <c r="F224" s="23"/>
      <c r="H224" s="39"/>
    </row>
    <row r="225" ht="15.75" customHeight="1">
      <c r="F225" s="23"/>
      <c r="H225" s="39"/>
    </row>
    <row r="226" ht="15.75" customHeight="1">
      <c r="F226" s="23"/>
      <c r="H226" s="39"/>
    </row>
    <row r="227" ht="15.75" customHeight="1">
      <c r="F227" s="23"/>
      <c r="H227" s="39"/>
    </row>
    <row r="228" ht="15.75" customHeight="1">
      <c r="F228" s="23"/>
      <c r="H228" s="39"/>
    </row>
    <row r="229" ht="15.75" customHeight="1">
      <c r="F229" s="23"/>
      <c r="H229" s="39"/>
    </row>
    <row r="230" ht="15.75" customHeight="1">
      <c r="F230" s="23"/>
      <c r="H230" s="39"/>
    </row>
    <row r="231" ht="15.75" customHeight="1">
      <c r="F231" s="23"/>
      <c r="H231" s="39"/>
    </row>
    <row r="232" ht="15.75" customHeight="1">
      <c r="F232" s="23"/>
      <c r="H232" s="39"/>
    </row>
    <row r="233" ht="15.75" customHeight="1">
      <c r="F233" s="23"/>
      <c r="H233" s="39"/>
    </row>
    <row r="234" ht="15.75" customHeight="1">
      <c r="F234" s="23"/>
      <c r="H234" s="39"/>
    </row>
    <row r="235" ht="15.75" customHeight="1">
      <c r="F235" s="23"/>
      <c r="H235" s="39"/>
    </row>
    <row r="236" ht="15.75" customHeight="1">
      <c r="F236" s="23"/>
      <c r="H236" s="39"/>
    </row>
    <row r="237" ht="15.75" customHeight="1">
      <c r="F237" s="23"/>
      <c r="H237" s="39"/>
    </row>
    <row r="238" ht="15.75" customHeight="1">
      <c r="F238" s="23"/>
      <c r="H238" s="39"/>
    </row>
    <row r="239" ht="15.75" customHeight="1">
      <c r="F239" s="23"/>
      <c r="H239" s="39"/>
    </row>
    <row r="240" ht="15.75" customHeight="1">
      <c r="F240" s="23"/>
      <c r="H240" s="39"/>
    </row>
    <row r="241" ht="15.75" customHeight="1">
      <c r="F241" s="23"/>
      <c r="H241" s="39"/>
    </row>
    <row r="242" ht="15.75" customHeight="1">
      <c r="F242" s="23"/>
      <c r="H242" s="39"/>
    </row>
    <row r="243" ht="15.75" customHeight="1">
      <c r="F243" s="23"/>
      <c r="H243" s="39"/>
    </row>
    <row r="244" ht="15.75" customHeight="1">
      <c r="F244" s="23"/>
      <c r="H244" s="39"/>
    </row>
    <row r="245" ht="15.75" customHeight="1">
      <c r="F245" s="23"/>
      <c r="H245" s="39"/>
    </row>
    <row r="246" ht="15.75" customHeight="1">
      <c r="F246" s="23"/>
      <c r="H246" s="39"/>
    </row>
    <row r="247" ht="15.75" customHeight="1">
      <c r="F247" s="23"/>
      <c r="H247" s="39"/>
    </row>
    <row r="248" ht="15.75" customHeight="1">
      <c r="F248" s="23"/>
      <c r="H248" s="39"/>
    </row>
    <row r="249" ht="15.75" customHeight="1">
      <c r="F249" s="23"/>
      <c r="H249" s="39"/>
    </row>
    <row r="250" ht="15.75" customHeight="1">
      <c r="F250" s="23"/>
      <c r="H250" s="39"/>
    </row>
    <row r="251" ht="15.75" customHeight="1">
      <c r="F251" s="23"/>
      <c r="H251" s="39"/>
    </row>
    <row r="252" ht="15.75" customHeight="1">
      <c r="F252" s="23"/>
      <c r="H252" s="39"/>
    </row>
    <row r="253" ht="15.75" customHeight="1">
      <c r="F253" s="23"/>
      <c r="H253" s="39"/>
    </row>
    <row r="254" ht="15.75" customHeight="1">
      <c r="F254" s="23"/>
      <c r="H254" s="39"/>
    </row>
    <row r="255" ht="15.75" customHeight="1">
      <c r="F255" s="23"/>
      <c r="H255" s="39"/>
    </row>
    <row r="256" ht="15.75" customHeight="1">
      <c r="F256" s="23"/>
      <c r="H256" s="39"/>
    </row>
    <row r="257" ht="15.75" customHeight="1">
      <c r="F257" s="23"/>
      <c r="H257" s="39"/>
    </row>
    <row r="258" ht="15.75" customHeight="1">
      <c r="F258" s="23"/>
      <c r="H258" s="39"/>
    </row>
    <row r="259" ht="15.75" customHeight="1">
      <c r="F259" s="23"/>
      <c r="H259" s="39"/>
    </row>
    <row r="260" ht="15.75" customHeight="1">
      <c r="F260" s="23"/>
      <c r="H260" s="39"/>
    </row>
    <row r="261" ht="15.75" customHeight="1">
      <c r="F261" s="23"/>
      <c r="H261" s="39"/>
    </row>
    <row r="262" ht="15.75" customHeight="1">
      <c r="F262" s="23"/>
      <c r="H262" s="39"/>
    </row>
    <row r="263" ht="15.75" customHeight="1">
      <c r="F263" s="23"/>
      <c r="H263" s="39"/>
    </row>
    <row r="264" ht="15.75" customHeight="1">
      <c r="F264" s="23"/>
      <c r="H264" s="39"/>
    </row>
    <row r="265" ht="15.75" customHeight="1">
      <c r="F265" s="23"/>
      <c r="H265" s="39"/>
    </row>
    <row r="266" ht="15.75" customHeight="1">
      <c r="F266" s="23"/>
      <c r="H266" s="39"/>
    </row>
    <row r="267" ht="15.75" customHeight="1">
      <c r="F267" s="23"/>
      <c r="H267" s="39"/>
    </row>
    <row r="268" ht="15.75" customHeight="1">
      <c r="F268" s="23"/>
      <c r="H268" s="39"/>
    </row>
    <row r="269" ht="15.75" customHeight="1">
      <c r="F269" s="23"/>
      <c r="H269" s="39"/>
    </row>
    <row r="270" ht="15.75" customHeight="1">
      <c r="F270" s="23"/>
      <c r="H270" s="39"/>
    </row>
    <row r="271" ht="15.75" customHeight="1">
      <c r="F271" s="23"/>
      <c r="H271" s="39"/>
    </row>
    <row r="272" ht="15.75" customHeight="1">
      <c r="F272" s="23"/>
      <c r="H272" s="39"/>
    </row>
    <row r="273" ht="15.75" customHeight="1">
      <c r="F273" s="23"/>
      <c r="H273" s="39"/>
    </row>
    <row r="274" ht="15.75" customHeight="1">
      <c r="F274" s="23"/>
      <c r="H274" s="39"/>
    </row>
    <row r="275" ht="15.75" customHeight="1">
      <c r="F275" s="23"/>
      <c r="H275" s="39"/>
    </row>
    <row r="276" ht="15.75" customHeight="1">
      <c r="F276" s="23"/>
      <c r="H276" s="39"/>
    </row>
    <row r="277" ht="15.75" customHeight="1">
      <c r="F277" s="23"/>
      <c r="H277" s="39"/>
    </row>
    <row r="278" ht="15.75" customHeight="1">
      <c r="F278" s="23"/>
      <c r="H278" s="39"/>
    </row>
    <row r="279" ht="15.75" customHeight="1">
      <c r="F279" s="23"/>
      <c r="H279" s="39"/>
    </row>
    <row r="280" ht="15.75" customHeight="1">
      <c r="F280" s="23"/>
      <c r="H280" s="39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80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12.88"/>
    <col customWidth="1" min="3" max="3" width="29.0"/>
    <col customWidth="1" min="4" max="4" width="3.38"/>
    <col customWidth="1" min="5" max="6" width="12.63"/>
    <col customWidth="1" min="8" max="8" width="12.88"/>
    <col customWidth="1" min="9" max="10" width="14.13"/>
    <col customWidth="1" min="11" max="11" width="2.38"/>
    <col customWidth="1" min="13" max="13" width="13.63"/>
    <col customWidth="1" min="14" max="14" width="14.13"/>
    <col customWidth="1" min="15" max="16" width="13.63"/>
    <col customWidth="1" min="17" max="17" width="9.13"/>
    <col customWidth="1" min="18" max="18" width="2.0"/>
    <col customWidth="1" min="22" max="22" width="12.13"/>
  </cols>
  <sheetData>
    <row r="1" ht="45.75" customHeight="1">
      <c r="A1" s="73"/>
      <c r="B1" s="1" t="s">
        <v>0</v>
      </c>
      <c r="C1" s="1" t="s">
        <v>1</v>
      </c>
      <c r="D1" s="1"/>
      <c r="E1" s="3" t="s">
        <v>152</v>
      </c>
      <c r="F1" s="3" t="s">
        <v>3</v>
      </c>
      <c r="G1" s="4" t="s">
        <v>4</v>
      </c>
      <c r="H1" s="3" t="s">
        <v>5</v>
      </c>
      <c r="I1" s="1" t="s">
        <v>6</v>
      </c>
      <c r="J1" s="1" t="s">
        <v>7</v>
      </c>
      <c r="K1" s="1"/>
      <c r="L1" s="3" t="s">
        <v>8</v>
      </c>
      <c r="M1" s="5" t="s">
        <v>9</v>
      </c>
      <c r="N1" s="2" t="s">
        <v>11</v>
      </c>
      <c r="O1" s="1" t="s">
        <v>12</v>
      </c>
      <c r="P1" s="1" t="s">
        <v>153</v>
      </c>
      <c r="Q1" s="74" t="s">
        <v>154</v>
      </c>
      <c r="R1" s="1"/>
      <c r="S1" s="1" t="s">
        <v>13</v>
      </c>
      <c r="T1" s="5" t="s">
        <v>14</v>
      </c>
      <c r="U1" s="3" t="s">
        <v>15</v>
      </c>
      <c r="V1" s="1" t="s">
        <v>16</v>
      </c>
    </row>
    <row r="2">
      <c r="A2" s="6" t="s">
        <v>72</v>
      </c>
      <c r="B2" s="7"/>
      <c r="C2" s="7"/>
      <c r="D2" s="75" t="s">
        <v>155</v>
      </c>
      <c r="E2" s="9"/>
      <c r="F2" s="9"/>
      <c r="G2" s="10"/>
      <c r="H2" s="9"/>
      <c r="I2" s="8"/>
      <c r="J2" s="8"/>
      <c r="K2" s="7"/>
      <c r="L2" s="9"/>
      <c r="M2" s="12"/>
      <c r="N2" s="13"/>
      <c r="O2" s="7"/>
      <c r="P2" s="7"/>
      <c r="Q2" s="76"/>
      <c r="R2" s="7"/>
      <c r="S2" s="7"/>
      <c r="T2" s="12"/>
      <c r="U2" s="9"/>
      <c r="V2" s="8"/>
    </row>
    <row r="3" ht="15.75" customHeight="1">
      <c r="A3" s="17"/>
      <c r="B3" s="23" t="s">
        <v>92</v>
      </c>
      <c r="C3" s="23" t="s">
        <v>156</v>
      </c>
      <c r="E3" s="11" t="str">
        <f>IFERROR(__xludf.DUMMYFUNCTION("SPARKLINE(GOOGLEFINANCE(B3, ""price"", TODAY()-365, TODAY(), ""DAILY""))"),"")</f>
        <v/>
      </c>
      <c r="F3" s="11">
        <f>IFERROR(__xludf.DUMMYFUNCTION("IFERROR(GOOGLEFINANCE(B3), 0)"),204.63)</f>
        <v>204.63</v>
      </c>
      <c r="G3" s="77">
        <v>425.0</v>
      </c>
      <c r="H3" s="11">
        <f t="shared" ref="H3:H7" si="1">F3*G3</f>
        <v>86967.75</v>
      </c>
      <c r="I3" s="19">
        <f t="shared" ref="I3:I8" si="2">H3/$H$121</f>
        <v>0.03262488429</v>
      </c>
      <c r="J3" s="22">
        <v>0.015</v>
      </c>
      <c r="L3" s="11">
        <v>90.8513492063492</v>
      </c>
      <c r="M3" s="50">
        <v>43293.53531598513</v>
      </c>
      <c r="N3" s="22">
        <f t="shared" ref="N3:N7" si="3">(F3/L3-1)</f>
        <v>1.252360607</v>
      </c>
      <c r="O3" s="19">
        <f>IFERROR(__xludf.DUMMYFUNCTION("N3 - ((GOOGLEFINANCE(""XLY"")/INDEX(GOOGLEFINANCE(""XLY"",""price"",M3),2,2))-1)"),0.21354985343165156)</f>
        <v>0.2135498534</v>
      </c>
      <c r="P3" s="19">
        <f>IFERROR(__xludf.DUMMYFUNCTION("N3 - ((GOOGLEFINANCE(""SPY"")/INDEX(GOOGLEFINANCE(""SPY"",""price"",M3),2,2))-1)"),-0.19067193099239255)</f>
        <v>-0.190671931</v>
      </c>
      <c r="Q3" s="78">
        <f>IFERROR(__xludf.DUMMYFUNCTION("IFERROR(GOOGLEFINANCE(B3, ""beta""), ""N/A"")"),1.37)</f>
        <v>1.37</v>
      </c>
      <c r="S3" s="18" t="s">
        <v>19</v>
      </c>
      <c r="T3" s="25">
        <v>45748.0</v>
      </c>
      <c r="U3" s="24">
        <v>211.08</v>
      </c>
      <c r="V3" s="19">
        <f t="shared" ref="V3:V7" si="4">IFERROR(F3/U3-1, "NA")</f>
        <v>-0.03055713474</v>
      </c>
    </row>
    <row r="4" ht="15.75" customHeight="1">
      <c r="A4" s="17"/>
      <c r="B4" s="23" t="s">
        <v>94</v>
      </c>
      <c r="C4" s="23" t="s">
        <v>157</v>
      </c>
      <c r="E4" s="11" t="str">
        <f>IFERROR(__xludf.DUMMYFUNCTION("SPARKLINE(GOOGLEFINANCE(B4, ""price"", TODAY()-365, TODAY(), ""DAILY""))"),"")</f>
        <v/>
      </c>
      <c r="F4" s="11">
        <f>IFERROR(__xludf.DUMMYFUNCTION("IFERROR(GOOGLEFINANCE(B4), 0)"),132.36)</f>
        <v>132.36</v>
      </c>
      <c r="G4" s="77">
        <v>258.0</v>
      </c>
      <c r="H4" s="11">
        <f t="shared" si="1"/>
        <v>34148.88</v>
      </c>
      <c r="I4" s="19">
        <f t="shared" si="2"/>
        <v>0.01281053332</v>
      </c>
      <c r="J4" s="22">
        <v>0.015</v>
      </c>
      <c r="L4" s="11">
        <v>131.05</v>
      </c>
      <c r="M4" s="50">
        <v>44676.0</v>
      </c>
      <c r="N4" s="22">
        <f t="shared" si="3"/>
        <v>0.009996184662</v>
      </c>
      <c r="O4" s="19">
        <f>IFERROR(__xludf.DUMMYFUNCTION("N4 - ((GOOGLEFINANCE(""XLY"")/INDEX(GOOGLEFINANCE(""XLY"",""price"",M4),2,2))-1)"),-0.28328444774872463)</f>
        <v>-0.2832844477</v>
      </c>
      <c r="P4" s="19">
        <f>IFERROR(__xludf.DUMMYFUNCTION("N4 - ((GOOGLEFINANCE(""SPY"")/INDEX(GOOGLEFINANCE(""SPY"",""price"",M4),2,2))-1)"),-0.5827554430709658)</f>
        <v>-0.5827554431</v>
      </c>
      <c r="Q4" s="78">
        <f>IFERROR(__xludf.DUMMYFUNCTION("IFERROR(GOOGLEFINANCE(B4, ""beta""), ""N/A"")"),1.14)</f>
        <v>1.14</v>
      </c>
      <c r="S4" s="18" t="s">
        <v>19</v>
      </c>
      <c r="T4" s="25">
        <v>45589.0</v>
      </c>
      <c r="U4" s="24">
        <v>172.46</v>
      </c>
      <c r="V4" s="19">
        <f t="shared" si="4"/>
        <v>-0.2325176853</v>
      </c>
    </row>
    <row r="5" ht="15.75" customHeight="1">
      <c r="A5" s="17"/>
      <c r="B5" s="23" t="s">
        <v>95</v>
      </c>
      <c r="C5" s="23" t="s">
        <v>158</v>
      </c>
      <c r="E5" s="11" t="str">
        <f>IFERROR(__xludf.DUMMYFUNCTION("SPARKLINE(GOOGLEFINANCE(B5, ""price"", TODAY()-365, TODAY(), ""DAILY""))"),"")</f>
        <v/>
      </c>
      <c r="F5" s="11">
        <f>IFERROR(__xludf.DUMMYFUNCTION("IFERROR(GOOGLEFINANCE(B5), 0)"),120.9)</f>
        <v>120.9</v>
      </c>
      <c r="G5" s="77">
        <v>334.0</v>
      </c>
      <c r="H5" s="11">
        <f t="shared" si="1"/>
        <v>40380.6</v>
      </c>
      <c r="I5" s="19">
        <f t="shared" si="2"/>
        <v>0.01514828661</v>
      </c>
      <c r="J5" s="22">
        <v>0.015</v>
      </c>
      <c r="L5" s="11">
        <v>97.8</v>
      </c>
      <c r="M5" s="50">
        <v>44883.0</v>
      </c>
      <c r="N5" s="22">
        <f t="shared" si="3"/>
        <v>0.236196319</v>
      </c>
      <c r="O5" s="19">
        <f>IFERROR(__xludf.DUMMYFUNCTION("N5 - ((GOOGLEFINANCE(""XLY"")/INDEX(GOOGLEFINANCE(""XLY"",""price"",M5),2,2))-1)"),-0.38820084410216227)</f>
        <v>-0.3882008441</v>
      </c>
      <c r="P5" s="19">
        <f>IFERROR(__xludf.DUMMYFUNCTION("N5 - ((GOOGLEFINANCE(""SPY"")/INDEX(GOOGLEFINANCE(""SPY"",""price"",M5),2,2))-1)"),-0.4871832229354873)</f>
        <v>-0.4871832229</v>
      </c>
      <c r="Q5" s="78">
        <f>IFERROR(__xludf.DUMMYFUNCTION("IFERROR(GOOGLEFINANCE(B5, ""beta""), ""N/A"")"),1.15)</f>
        <v>1.15</v>
      </c>
      <c r="S5" s="79" t="s">
        <v>19</v>
      </c>
      <c r="T5" s="80">
        <v>45951.0</v>
      </c>
      <c r="U5" s="24">
        <v>138.11</v>
      </c>
      <c r="V5" s="19">
        <f t="shared" si="4"/>
        <v>-0.1246108175</v>
      </c>
    </row>
    <row r="6" ht="15.75" customHeight="1">
      <c r="A6" s="17"/>
      <c r="B6" s="23" t="s">
        <v>159</v>
      </c>
      <c r="C6" s="23" t="s">
        <v>160</v>
      </c>
      <c r="E6" s="11" t="str">
        <f>IFERROR(__xludf.DUMMYFUNCTION("SPARKLINE(GOOGLEFINANCE(B6, ""price"", TODAY()-365, TODAY(), ""DAILY""))"),"")</f>
        <v/>
      </c>
      <c r="F6" s="11">
        <f>IFERROR(__xludf.DUMMYFUNCTION("IFERROR(GOOGLEFINANCE(B6), 0)"),57.42)</f>
        <v>57.42</v>
      </c>
      <c r="G6" s="49">
        <v>608.0</v>
      </c>
      <c r="H6" s="11">
        <f t="shared" si="1"/>
        <v>34911.36</v>
      </c>
      <c r="I6" s="19">
        <f t="shared" si="2"/>
        <v>0.01309656833</v>
      </c>
      <c r="J6" s="22">
        <v>0.015</v>
      </c>
      <c r="L6" s="11">
        <v>90.75699013157895</v>
      </c>
      <c r="M6" s="50">
        <v>45219.0</v>
      </c>
      <c r="N6" s="22">
        <f t="shared" si="3"/>
        <v>-0.3673214601</v>
      </c>
      <c r="O6" s="19">
        <f>IFERROR(__xludf.DUMMYFUNCTION("N6 - ((GOOGLEFINANCE(""XLY"")/INDEX(GOOGLEFINANCE(""XLY"",""price"",M6),2,2))-1)"),-0.8771434772629572)</f>
        <v>-0.8771434773</v>
      </c>
      <c r="P6" s="19">
        <f>IFERROR(__xludf.DUMMYFUNCTION("N6 - ((GOOGLEFINANCE(""SPY"")/INDEX(GOOGLEFINANCE(""SPY"",""price"",M6),2,2))-1)"),-0.9877540439933794)</f>
        <v>-0.987754044</v>
      </c>
      <c r="Q6" s="78">
        <f>IFERROR(__xludf.DUMMYFUNCTION("IFERROR(GOOGLEFINANCE(B6, ""beta""), ""N/A"")"),1.38)</f>
        <v>1.38</v>
      </c>
      <c r="S6" s="18" t="s">
        <v>19</v>
      </c>
      <c r="T6" s="25">
        <v>45741.0</v>
      </c>
      <c r="U6" s="24">
        <v>96.86</v>
      </c>
      <c r="V6" s="19">
        <f t="shared" si="4"/>
        <v>-0.4071856287</v>
      </c>
    </row>
    <row r="7" ht="15.75" customHeight="1">
      <c r="A7" s="17"/>
      <c r="B7" s="23" t="s">
        <v>71</v>
      </c>
      <c r="C7" s="23" t="s">
        <v>161</v>
      </c>
      <c r="E7" s="11" t="str">
        <f>IFERROR(__xludf.DUMMYFUNCTION("SPARKLINE(GOOGLEFINANCE(B7, ""price"", TODAY()-365, TODAY(), ""DAILY""))"),"")</f>
        <v/>
      </c>
      <c r="F7" s="11">
        <f>IFERROR(__xludf.DUMMYFUNCTION("IFERROR(GOOGLEFINANCE(B7), 0)"),114.52)</f>
        <v>114.52</v>
      </c>
      <c r="G7" s="49">
        <v>0.0</v>
      </c>
      <c r="H7" s="11">
        <f t="shared" si="1"/>
        <v>0</v>
      </c>
      <c r="I7" s="19">
        <f t="shared" si="2"/>
        <v>0</v>
      </c>
      <c r="J7" s="22">
        <f>I7</f>
        <v>0</v>
      </c>
      <c r="L7" s="11">
        <v>179.75</v>
      </c>
      <c r="M7" s="50">
        <v>45191.0</v>
      </c>
      <c r="N7" s="22">
        <f t="shared" si="3"/>
        <v>-0.3628929068</v>
      </c>
      <c r="Q7" s="78" t="str">
        <f>IFERROR(__xludf.DUMMYFUNCTION("IFERROR(GOOGLEFINANCE(B7, ""beta""), ""N/A"")"),"N/A")</f>
        <v>N/A</v>
      </c>
      <c r="S7" s="18" t="s">
        <v>36</v>
      </c>
      <c r="T7" s="18" t="s">
        <v>36</v>
      </c>
      <c r="U7" s="24" t="s">
        <v>36</v>
      </c>
      <c r="V7" s="19" t="str">
        <f t="shared" si="4"/>
        <v>NA</v>
      </c>
    </row>
    <row r="8" ht="15.75" customHeight="1">
      <c r="A8" s="6" t="s">
        <v>32</v>
      </c>
      <c r="B8" s="40"/>
      <c r="C8" s="40"/>
      <c r="D8" s="40"/>
      <c r="E8" s="42"/>
      <c r="F8" s="42"/>
      <c r="G8" s="43"/>
      <c r="H8" s="42">
        <f>SUM(H3:H7)</f>
        <v>196408.59</v>
      </c>
      <c r="I8" s="41">
        <f t="shared" si="2"/>
        <v>0.07368027255</v>
      </c>
      <c r="J8" s="81">
        <v>0.08</v>
      </c>
      <c r="K8" s="40"/>
      <c r="L8" s="42">
        <f>SUMPRODUCT(L3:L7*G3:G7)</f>
        <v>160268.1734</v>
      </c>
      <c r="M8" s="44">
        <f>AVERAGE(M3:M7)</f>
        <v>44652.50706</v>
      </c>
      <c r="N8" s="45">
        <f>H8/L8-1</f>
        <v>0.2254996474</v>
      </c>
      <c r="O8" s="82"/>
      <c r="P8" s="82"/>
      <c r="Q8" s="83">
        <f>SUMPRODUCT(I3:I5/SUMIF(Q3:Q5, "&lt;&gt;N/A", I3:I5),Q3:Q5)</f>
        <v>1.266357514</v>
      </c>
      <c r="R8" s="40"/>
      <c r="S8" s="40"/>
      <c r="T8" s="44"/>
      <c r="U8" s="42"/>
      <c r="V8" s="41"/>
    </row>
    <row r="9" ht="15.75" customHeight="1">
      <c r="A9" s="84"/>
      <c r="E9" s="11"/>
      <c r="F9" s="11"/>
      <c r="G9" s="49"/>
      <c r="I9" s="85"/>
      <c r="J9" s="19"/>
      <c r="L9" s="11"/>
      <c r="M9" s="50"/>
      <c r="N9" s="22"/>
      <c r="Q9" s="78"/>
      <c r="T9" s="50"/>
      <c r="U9" s="11"/>
      <c r="V9" s="19"/>
    </row>
    <row r="10">
      <c r="A10" s="6" t="s">
        <v>74</v>
      </c>
      <c r="B10" s="7"/>
      <c r="C10" s="7"/>
      <c r="D10" s="7"/>
      <c r="E10" s="9"/>
      <c r="F10" s="9"/>
      <c r="G10" s="10"/>
      <c r="H10" s="11"/>
      <c r="J10" s="86"/>
      <c r="K10" s="7"/>
      <c r="L10" s="9"/>
      <c r="M10" s="12"/>
      <c r="N10" s="13"/>
      <c r="Q10" s="78"/>
      <c r="R10" s="7"/>
      <c r="S10" s="7"/>
      <c r="T10" s="12"/>
      <c r="U10" s="9"/>
      <c r="V10" s="8"/>
    </row>
    <row r="11" ht="15.75" customHeight="1">
      <c r="A11" s="17"/>
      <c r="B11" s="18" t="s">
        <v>97</v>
      </c>
      <c r="C11" s="23" t="s">
        <v>162</v>
      </c>
      <c r="E11" s="11" t="str">
        <f>IFERROR(__xludf.DUMMYFUNCTION("SPARKLINE(GOOGLEFINANCE(B11, ""price"", TODAY()-365, TODAY(), ""DAILY""))"),"")</f>
        <v/>
      </c>
      <c r="F11" s="11">
        <f>IFERROR(__xludf.DUMMYFUNCTION("GOOGLEFINANCE(B11)"),185.24)</f>
        <v>185.24</v>
      </c>
      <c r="G11" s="87">
        <v>243.0</v>
      </c>
      <c r="H11" s="11">
        <f t="shared" ref="H11:H14" si="5">F11*G11</f>
        <v>45013.32</v>
      </c>
      <c r="I11" s="19">
        <f t="shared" ref="I11:I15" si="6">H11/$H$121</f>
        <v>0.01688619467</v>
      </c>
      <c r="J11" s="22">
        <v>0.015</v>
      </c>
      <c r="L11" s="24">
        <v>90.63</v>
      </c>
      <c r="M11" s="25">
        <v>44862.0</v>
      </c>
      <c r="N11" s="22">
        <f t="shared" ref="N11:N14" si="7">(F11/L11-1)</f>
        <v>1.043914818</v>
      </c>
      <c r="O11" s="19">
        <f>IFERROR(__xludf.DUMMYFUNCTION("N11 - ((GOOGLEFINANCE(""XLP"")/INDEX(GOOGLEFINANCE(""XLP"",""price"",M11),2,2))-1)"),0.8311226905714939)</f>
        <v>0.8311226906</v>
      </c>
      <c r="P11" s="19">
        <f>IFERROR(__xludf.DUMMYFUNCTION("N11 - ((GOOGLEFINANCE(""SPY"")/INDEX(GOOGLEFINANCE(""SPY"",""price"",M11),2,2))-1)"),0.28948059917242963)</f>
        <v>0.2894805992</v>
      </c>
      <c r="Q11" s="78">
        <f>IFERROR(__xludf.DUMMYFUNCTION("IFERROR(GOOGLEFINANCE(B11, ""beta""), ""N/A"")"),0.39)</f>
        <v>0.39</v>
      </c>
      <c r="S11" s="18" t="s">
        <v>21</v>
      </c>
      <c r="T11" s="25">
        <v>44859.0</v>
      </c>
      <c r="U11" s="24">
        <v>95.36</v>
      </c>
      <c r="V11" s="19">
        <f t="shared" ref="V11:V14" si="8">IFERROR(F11/U11-1, "NA")</f>
        <v>0.942533557</v>
      </c>
    </row>
    <row r="12" ht="15.75" customHeight="1">
      <c r="A12" s="17"/>
      <c r="B12" s="18" t="s">
        <v>163</v>
      </c>
      <c r="C12" s="23" t="s">
        <v>164</v>
      </c>
      <c r="E12" s="11" t="str">
        <f>IFERROR(__xludf.DUMMYFUNCTION("SPARKLINE(GOOGLEFINANCE(B12, ""price"", TODAY()-365, TODAY(), ""DAILY""))"),"")</f>
        <v/>
      </c>
      <c r="F12" s="11">
        <f>IFERROR(__xludf.DUMMYFUNCTION("GOOGLEFINANCE(B12)"),106.42)</f>
        <v>106.42</v>
      </c>
      <c r="G12" s="87">
        <v>612.0</v>
      </c>
      <c r="H12" s="11">
        <f t="shared" si="5"/>
        <v>65129.04</v>
      </c>
      <c r="I12" s="19">
        <f t="shared" si="6"/>
        <v>0.0244323602</v>
      </c>
      <c r="J12" s="22">
        <v>0.015</v>
      </c>
      <c r="L12" s="24">
        <v>85.08</v>
      </c>
      <c r="M12" s="25">
        <v>45212.0</v>
      </c>
      <c r="N12" s="22">
        <f t="shared" si="7"/>
        <v>0.2508227551</v>
      </c>
      <c r="O12" s="19">
        <f>IFERROR(__xludf.DUMMYFUNCTION("N12 - ((GOOGLEFINANCE(""XLP"")/INDEX(GOOGLEFINANCE(""XLP"",""price"",M12),2,2))-1)"),-0.07762035871838835)</f>
        <v>-0.07762035872</v>
      </c>
      <c r="P12" s="19">
        <f>IFERROR(__xludf.DUMMYFUNCTION("N12 - ((GOOGLEFINANCE(""SPY"")/INDEX(GOOGLEFINANCE(""SPY"",""price"",M12),2,2))-1)"),-0.33089219280224835)</f>
        <v>-0.3308921928</v>
      </c>
      <c r="Q12" s="78">
        <f>IFERROR(__xludf.DUMMYFUNCTION("IFERROR(GOOGLEFINANCE(B12, ""beta""), ""N/A"")"),0.44)</f>
        <v>0.44</v>
      </c>
      <c r="S12" s="18" t="s">
        <v>19</v>
      </c>
      <c r="T12" s="25">
        <v>45552.0</v>
      </c>
      <c r="U12" s="24">
        <v>127.43</v>
      </c>
      <c r="V12" s="19">
        <f t="shared" si="8"/>
        <v>-0.1648748332</v>
      </c>
    </row>
    <row r="13" ht="15.75" customHeight="1">
      <c r="A13" s="17"/>
      <c r="B13" s="18" t="s">
        <v>165</v>
      </c>
      <c r="C13" s="23" t="s">
        <v>166</v>
      </c>
      <c r="E13" s="11" t="str">
        <f>IFERROR(__xludf.DUMMYFUNCTION("SPARKLINE(GOOGLEFINANCE(B13, ""price"", TODAY()-365, TODAY(), ""DAILY""))"),"")</f>
        <v/>
      </c>
      <c r="F13" s="11">
        <f>IFERROR(__xludf.DUMMYFUNCTION("GOOGLEFINANCE(B13)"),71.22)</f>
        <v>71.22</v>
      </c>
      <c r="G13" s="87">
        <v>400.0</v>
      </c>
      <c r="H13" s="11">
        <f t="shared" si="5"/>
        <v>28488</v>
      </c>
      <c r="I13" s="19">
        <f t="shared" si="6"/>
        <v>0.01068692364</v>
      </c>
      <c r="J13" s="22">
        <v>0.0125</v>
      </c>
      <c r="L13" s="24">
        <v>43.19</v>
      </c>
      <c r="M13" s="25">
        <v>45240.0</v>
      </c>
      <c r="N13" s="22">
        <f t="shared" si="7"/>
        <v>0.6489928224</v>
      </c>
      <c r="O13" s="19">
        <f>IFERROR(__xludf.DUMMYFUNCTION("N13 - ((GOOGLEFINANCE(""XLP"")/INDEX(GOOGLEFINANCE(""XLP"",""price"",M13),2,2))-1)"),0.3621598757768647)</f>
        <v>0.3621598758</v>
      </c>
      <c r="P13" s="19">
        <f>IFERROR(__xludf.DUMMYFUNCTION("N13 - ((GOOGLEFINANCE(""SPY"")/INDEX(GOOGLEFINANCE(""SPY"",""price"",M13),2,2))-1)"),0.09998122485466454)</f>
        <v>0.09998122485</v>
      </c>
      <c r="Q13" s="78">
        <f>IFERROR(__xludf.DUMMYFUNCTION("IFERROR(GOOGLEFINANCE(B13, ""beta""), ""N/A"")"),0.75)</f>
        <v>0.75</v>
      </c>
      <c r="S13" s="18" t="s">
        <v>167</v>
      </c>
      <c r="T13" s="25">
        <v>45575.0</v>
      </c>
      <c r="U13" s="24">
        <v>115.69</v>
      </c>
      <c r="V13" s="19">
        <f t="shared" si="8"/>
        <v>-0.3843893163</v>
      </c>
    </row>
    <row r="14" ht="15.75" customHeight="1">
      <c r="A14" s="17"/>
      <c r="B14" s="18" t="s">
        <v>73</v>
      </c>
      <c r="C14" s="23" t="s">
        <v>168</v>
      </c>
      <c r="E14" s="11" t="str">
        <f>IFERROR(__xludf.DUMMYFUNCTION("SPARKLINE(GOOGLEFINANCE(B14, ""price"", TODAY()-365, TODAY(), ""DAILY""))"),"")</f>
        <v/>
      </c>
      <c r="F14" s="11">
        <f>IFERROR(__xludf.DUMMYFUNCTION("GOOGLEFINANCE(B14)"),88.74)</f>
        <v>88.74</v>
      </c>
      <c r="G14" s="21">
        <v>0.0</v>
      </c>
      <c r="H14" s="11">
        <f t="shared" si="5"/>
        <v>0</v>
      </c>
      <c r="I14" s="19">
        <f t="shared" si="6"/>
        <v>0</v>
      </c>
      <c r="J14" s="22">
        <f>I14</f>
        <v>0</v>
      </c>
      <c r="L14" s="24">
        <v>72.98</v>
      </c>
      <c r="M14" s="25">
        <v>44594.0</v>
      </c>
      <c r="N14" s="22">
        <f t="shared" si="7"/>
        <v>0.2159495752</v>
      </c>
      <c r="Q14" s="78" t="str">
        <f>IFERROR(__xludf.DUMMYFUNCTION("IFERROR(GOOGLEFINANCE(B14, ""beta""), ""N/A"")"),"N/A")</f>
        <v>N/A</v>
      </c>
      <c r="S14" s="18" t="s">
        <v>36</v>
      </c>
      <c r="T14" s="18" t="s">
        <v>36</v>
      </c>
      <c r="U14" s="24" t="s">
        <v>36</v>
      </c>
      <c r="V14" s="19" t="str">
        <f t="shared" si="8"/>
        <v>NA</v>
      </c>
    </row>
    <row r="15" ht="15.75" customHeight="1">
      <c r="A15" s="6" t="s">
        <v>32</v>
      </c>
      <c r="B15" s="40"/>
      <c r="C15" s="40"/>
      <c r="D15" s="40"/>
      <c r="E15" s="42"/>
      <c r="F15" s="42"/>
      <c r="G15" s="43"/>
      <c r="H15" s="42">
        <f>SUM(H11:H14)</f>
        <v>138630.36</v>
      </c>
      <c r="I15" s="41">
        <f t="shared" si="6"/>
        <v>0.05200547852</v>
      </c>
      <c r="J15" s="81">
        <v>0.05</v>
      </c>
      <c r="K15" s="40"/>
      <c r="L15" s="42">
        <f>SUMPRODUCT(L11:L14*G11:G14)</f>
        <v>91368.05</v>
      </c>
      <c r="M15" s="44">
        <f>AVERAGE(M11:M14)</f>
        <v>44977</v>
      </c>
      <c r="N15" s="45">
        <f>H15/L15-1</f>
        <v>0.5172739267</v>
      </c>
      <c r="O15" s="82"/>
      <c r="P15" s="82"/>
      <c r="Q15" s="83">
        <f>SUMPRODUCT(I11:I13/SUMIF(Q11:Q13, "&lt;&gt;N/A", I11:I13),Q11:Q13)</f>
        <v>0.4874687796</v>
      </c>
      <c r="R15" s="40"/>
      <c r="S15" s="40"/>
      <c r="T15" s="44"/>
      <c r="U15" s="42"/>
      <c r="V15" s="41"/>
    </row>
    <row r="16" ht="15.75" customHeight="1">
      <c r="A16" s="88"/>
      <c r="E16" s="11"/>
      <c r="F16" s="11"/>
      <c r="H16" s="11"/>
      <c r="I16" s="19"/>
      <c r="J16" s="19"/>
      <c r="L16" s="11"/>
      <c r="M16" s="50"/>
      <c r="N16" s="22"/>
      <c r="Q16" s="78"/>
      <c r="T16" s="50"/>
      <c r="U16" s="11"/>
      <c r="V16" s="19"/>
    </row>
    <row r="17" ht="15.75" customHeight="1">
      <c r="A17" s="6" t="s">
        <v>77</v>
      </c>
      <c r="B17" s="7"/>
      <c r="C17" s="7"/>
      <c r="D17" s="7"/>
      <c r="E17" s="9"/>
      <c r="F17" s="9"/>
      <c r="G17" s="49"/>
      <c r="H17" s="11"/>
      <c r="I17" s="8"/>
      <c r="J17" s="8"/>
      <c r="K17" s="7"/>
      <c r="L17" s="9"/>
      <c r="M17" s="12"/>
      <c r="N17" s="13"/>
      <c r="Q17" s="78"/>
      <c r="R17" s="7"/>
      <c r="S17" s="7"/>
      <c r="T17" s="12"/>
      <c r="U17" s="9"/>
      <c r="V17" s="8"/>
    </row>
    <row r="18" ht="15.75" customHeight="1">
      <c r="A18" s="17"/>
      <c r="B18" s="23" t="s">
        <v>98</v>
      </c>
      <c r="C18" s="23" t="s">
        <v>169</v>
      </c>
      <c r="E18" s="11" t="str">
        <f>IFERROR(__xludf.DUMMYFUNCTION("SPARKLINE(GOOGLEFINANCE(B18, ""price"", TODAY()-365, TODAY(), ""DAILY""))"),"")</f>
        <v/>
      </c>
      <c r="F18" s="11">
        <f>IFERROR(__xludf.DUMMYFUNCTION("IFERROR(GOOGLEFINANCE(B18), 0)"),226.62)</f>
        <v>226.62</v>
      </c>
      <c r="G18" s="77">
        <v>323.0</v>
      </c>
      <c r="H18" s="11">
        <f t="shared" ref="H18:H22" si="9">F18*G18</f>
        <v>73198.26</v>
      </c>
      <c r="I18" s="19">
        <f t="shared" ref="I18:I23" si="10">H18/$H$121</f>
        <v>0.02745942908</v>
      </c>
      <c r="J18" s="22">
        <v>0.0075</v>
      </c>
      <c r="L18" s="11">
        <v>65.12</v>
      </c>
      <c r="M18" s="50">
        <v>43580.0</v>
      </c>
      <c r="N18" s="22">
        <f t="shared" ref="N18:N22" si="11">(F18/L18-1)</f>
        <v>2.480036855</v>
      </c>
      <c r="O18" s="19">
        <f>IFERROR(__xludf.DUMMYFUNCTION("N18 - ((GOOGLEFINANCE(""XLE"")/INDEX(GOOGLEFINANCE(""XLE"",""price"",M18),2,2))-1)"),1.8359235912514598)</f>
        <v>1.835923591</v>
      </c>
      <c r="P18" s="19">
        <f>IFERROR(__xludf.DUMMYFUNCTION("N18 - ((GOOGLEFINANCE(""SPY"")/INDEX(GOOGLEFINANCE(""SPY"",""price"",M18),2,2))-1)"),1.1430740062095994)</f>
        <v>1.143074006</v>
      </c>
      <c r="Q18" s="78">
        <f>IFERROR(__xludf.DUMMYFUNCTION("IFERROR(GOOGLEFINANCE(B18, ""beta""), ""N/A"")"),0.27)</f>
        <v>0.27</v>
      </c>
      <c r="S18" s="23" t="s">
        <v>19</v>
      </c>
      <c r="T18" s="50">
        <v>45566.0</v>
      </c>
      <c r="U18" s="11">
        <v>225.45</v>
      </c>
      <c r="V18" s="19">
        <f t="shared" ref="V18:V22" si="12">IFERROR(F18/U18-1, "NA")</f>
        <v>0.005189620758</v>
      </c>
    </row>
    <row r="19" ht="15.75" customHeight="1">
      <c r="A19" s="17"/>
      <c r="B19" s="18" t="s">
        <v>99</v>
      </c>
      <c r="C19" s="18" t="s">
        <v>170</v>
      </c>
      <c r="E19" s="11" t="str">
        <f>IFERROR(__xludf.DUMMYFUNCTION("SPARKLINE(GOOGLEFINANCE(B19, ""price"", TODAY()-365, TODAY(), ""DAILY""))"),"")</f>
        <v/>
      </c>
      <c r="F19" s="11">
        <f>IFERROR(__xludf.DUMMYFUNCTION("IFERROR(GOOGLEFINANCE(B19), 0)"),174.82)</f>
        <v>174.82</v>
      </c>
      <c r="G19" s="87">
        <v>168.0</v>
      </c>
      <c r="H19" s="11">
        <f t="shared" si="9"/>
        <v>29369.76</v>
      </c>
      <c r="I19" s="19">
        <f t="shared" si="10"/>
        <v>0.01101770509</v>
      </c>
      <c r="J19" s="22">
        <v>0.015</v>
      </c>
      <c r="L19" s="24">
        <v>80.61</v>
      </c>
      <c r="M19" s="25">
        <v>43873.0</v>
      </c>
      <c r="N19" s="22">
        <f t="shared" si="11"/>
        <v>1.168713559</v>
      </c>
      <c r="O19" s="19">
        <f>IFERROR(__xludf.DUMMYFUNCTION("N19 - ((GOOGLEFINANCE(""XLE"")/INDEX(GOOGLEFINANCE(""XLE"",""price"",M19),2,2))-1)"),0.1643530939954938)</f>
        <v>0.164353094</v>
      </c>
      <c r="P19" s="19">
        <f>IFERROR(__xludf.DUMMYFUNCTION("N19 - ((GOOGLEFINANCE(""SPY"")/INDEX(GOOGLEFINANCE(""SPY"",""price"",M19),2,2))-1)"),0.14598224502250723)</f>
        <v>0.145982245</v>
      </c>
      <c r="Q19" s="78">
        <f>IFERROR(__xludf.DUMMYFUNCTION("IFERROR(GOOGLEFINANCE(B19, ""beta""), ""N/A"")"),0.61)</f>
        <v>0.61</v>
      </c>
      <c r="S19" s="18" t="s">
        <v>19</v>
      </c>
      <c r="T19" s="25">
        <v>45610.0</v>
      </c>
      <c r="U19" s="24">
        <v>213.57</v>
      </c>
      <c r="V19" s="19">
        <f t="shared" si="12"/>
        <v>-0.1814393407</v>
      </c>
    </row>
    <row r="20" ht="15.75" customHeight="1">
      <c r="A20" s="17"/>
      <c r="B20" s="23" t="s">
        <v>171</v>
      </c>
      <c r="C20" s="23" t="s">
        <v>172</v>
      </c>
      <c r="D20" s="23"/>
      <c r="E20" s="11" t="str">
        <f>IFERROR(__xludf.DUMMYFUNCTION("SPARKLINE(GOOGLEFINANCE(B20, ""price"", TODAY()-365, TODAY(), ""DAILY""))"),"")</f>
        <v/>
      </c>
      <c r="F20" s="29">
        <f>IFERROR(__xludf.DUMMYFUNCTION("IFERROR(GOOGLEFINANCE(B20), 0)"),822.8)</f>
        <v>822.8</v>
      </c>
      <c r="G20" s="89">
        <v>32.0</v>
      </c>
      <c r="H20" s="29">
        <f t="shared" si="9"/>
        <v>26329.6</v>
      </c>
      <c r="I20" s="30">
        <f t="shared" si="10"/>
        <v>0.009877226368</v>
      </c>
      <c r="J20" s="30">
        <v>0.0016</v>
      </c>
      <c r="K20" s="23"/>
      <c r="L20" s="29">
        <v>146.63</v>
      </c>
      <c r="M20" s="28">
        <v>45372.0</v>
      </c>
      <c r="N20" s="90">
        <f t="shared" si="11"/>
        <v>4.611402851</v>
      </c>
      <c r="O20" s="90">
        <f>IFERROR(__xludf.DUMMYFUNCTION("N20 - ((GOOGLEFINANCE(""XLI"")/INDEX(GOOGLEFINANCE(""XLI"",""price"",M20),2,2))-1)"),4.217579227662694)</f>
        <v>4.217579228</v>
      </c>
      <c r="P20" s="90">
        <f>IFERROR(__xludf.DUMMYFUNCTION("N20 - ((GOOGLEFINANCE(""SPY"")/INDEX(GOOGLEFINANCE(""SPY"",""price"",M20),2,2))-1)"),4.304413191578247)</f>
        <v>4.304413192</v>
      </c>
      <c r="Q20" s="78" t="str">
        <f>IFERROR(__xludf.DUMMYFUNCTION("IFERROR(GOOGLEFINANCE(B20, ""beta""), ""N/A"")"),"N/A")</f>
        <v>N/A</v>
      </c>
      <c r="R20" s="23"/>
      <c r="S20" s="23" t="s">
        <v>19</v>
      </c>
      <c r="T20" s="50">
        <v>45700.0</v>
      </c>
      <c r="U20" s="11">
        <v>336.63</v>
      </c>
      <c r="V20" s="19">
        <f t="shared" si="12"/>
        <v>1.444226599</v>
      </c>
    </row>
    <row r="21" ht="15.75" customHeight="1">
      <c r="A21" s="17"/>
      <c r="B21" s="91" t="s">
        <v>173</v>
      </c>
      <c r="C21" s="91" t="s">
        <v>174</v>
      </c>
      <c r="D21" s="23"/>
      <c r="E21" s="11" t="str">
        <f>IFERROR(__xludf.DUMMYFUNCTION("SPARKLINE(GOOGLEFINANCE(B21, ""price"", TODAY()-365, TODAY(), ""DAILY""))"),"")</f>
        <v/>
      </c>
      <c r="F21" s="29">
        <f>IFERROR(__xludf.DUMMYFUNCTION("IFERROR(GOOGLEFINANCE(B21), 0)"),50.73)</f>
        <v>50.73</v>
      </c>
      <c r="G21" s="92">
        <v>502.0</v>
      </c>
      <c r="H21" s="29">
        <f t="shared" si="9"/>
        <v>25466.46</v>
      </c>
      <c r="I21" s="30">
        <f t="shared" si="10"/>
        <v>0.009553429988</v>
      </c>
      <c r="J21" s="93">
        <v>0.007</v>
      </c>
      <c r="K21" s="23"/>
      <c r="L21" s="94">
        <v>36.691</v>
      </c>
      <c r="M21" s="95">
        <v>45964.0</v>
      </c>
      <c r="N21" s="90">
        <f t="shared" si="11"/>
        <v>0.3826278924</v>
      </c>
      <c r="O21" s="90">
        <f>IFERROR(__xludf.DUMMYFUNCTION("N21 - ((GOOGLEFINANCE(""XLI"")/INDEX(GOOGLEFINANCE(""XLI"",""price"",M21),2,2))-1)"),0.24843100120697104)</f>
        <v>0.2484310012</v>
      </c>
      <c r="P21" s="90">
        <f>IFERROR(__xludf.DUMMYFUNCTION("N21 - ((GOOGLEFINANCE(""SPY"")/INDEX(GOOGLEFINANCE(""SPY"",""price"",M21),2,2))-1)"),0.3838425146950487)</f>
        <v>0.3838425147</v>
      </c>
      <c r="Q21" s="78">
        <f>IFERROR(__xludf.DUMMYFUNCTION("IFERROR(GOOGLEFINANCE(B21, ""beta""), ""N/A"")"),0.72)</f>
        <v>0.72</v>
      </c>
      <c r="R21" s="23"/>
      <c r="S21" s="91" t="s">
        <v>175</v>
      </c>
      <c r="T21" s="96">
        <v>45958.0</v>
      </c>
      <c r="U21" s="85">
        <v>47.51</v>
      </c>
      <c r="V21" s="19">
        <f t="shared" si="12"/>
        <v>0.06777520522</v>
      </c>
    </row>
    <row r="22" ht="15.75" customHeight="1">
      <c r="A22" s="17"/>
      <c r="B22" s="18" t="s">
        <v>76</v>
      </c>
      <c r="C22" s="18" t="s">
        <v>176</v>
      </c>
      <c r="E22" s="11" t="str">
        <f>IFERROR(__xludf.DUMMYFUNCTION("SPARKLINE(GOOGLEFINANCE(B22, ""price"", TODAY()-365, TODAY(), ""DAILY""))"),"")</f>
        <v/>
      </c>
      <c r="F22" s="11">
        <f>IFERROR(__xludf.DUMMYFUNCTION("IFERROR(GOOGLEFINANCE(B22), 0)"),55.16)</f>
        <v>55.16</v>
      </c>
      <c r="G22" s="21">
        <v>0.0</v>
      </c>
      <c r="H22" s="11">
        <f t="shared" si="9"/>
        <v>0</v>
      </c>
      <c r="I22" s="19">
        <f t="shared" si="10"/>
        <v>0</v>
      </c>
      <c r="J22" s="22">
        <f>I22</f>
        <v>0</v>
      </c>
      <c r="L22" s="24">
        <v>80.25</v>
      </c>
      <c r="M22" s="25">
        <v>44624.0</v>
      </c>
      <c r="N22" s="22">
        <f t="shared" si="11"/>
        <v>-0.3126479751</v>
      </c>
      <c r="Q22" s="78" t="str">
        <f>IFERROR(__xludf.DUMMYFUNCTION("IFERROR(GOOGLEFINANCE(B22, ""beta""), ""N/A"")"),"N/A")</f>
        <v>N/A</v>
      </c>
      <c r="S22" s="18" t="s">
        <v>36</v>
      </c>
      <c r="T22" s="18" t="s">
        <v>36</v>
      </c>
      <c r="U22" s="24" t="s">
        <v>36</v>
      </c>
      <c r="V22" s="19" t="str">
        <f t="shared" si="12"/>
        <v>NA</v>
      </c>
    </row>
    <row r="23" ht="15.75" customHeight="1">
      <c r="A23" s="6" t="s">
        <v>32</v>
      </c>
      <c r="B23" s="40"/>
      <c r="C23" s="40"/>
      <c r="D23" s="40"/>
      <c r="E23" s="42"/>
      <c r="F23" s="42"/>
      <c r="G23" s="43"/>
      <c r="H23" s="42">
        <f>SUM(H18:H22)</f>
        <v>154364.08</v>
      </c>
      <c r="I23" s="41">
        <f t="shared" si="10"/>
        <v>0.05790779052</v>
      </c>
      <c r="J23" s="81">
        <v>0.055</v>
      </c>
      <c r="K23" s="40"/>
      <c r="L23" s="42">
        <f>SUMPRODUCT(L18:L22*G18:G22)</f>
        <v>57687.282</v>
      </c>
      <c r="M23" s="44">
        <f>AVERAGE(M18:M22)</f>
        <v>44682.6</v>
      </c>
      <c r="N23" s="45">
        <f>H23/L23-1</f>
        <v>1.675877154</v>
      </c>
      <c r="O23" s="82"/>
      <c r="P23" s="82"/>
      <c r="Q23" s="83">
        <f>SUMPRODUCT(I18:I19/SUMIF(Q18:Q19, "&lt;&gt;N/A", I18:I19), Q18:Q19)</f>
        <v>0.3673570358</v>
      </c>
      <c r="R23" s="40"/>
      <c r="S23" s="40"/>
      <c r="T23" s="44"/>
      <c r="U23" s="42"/>
      <c r="V23" s="41"/>
    </row>
    <row r="24" ht="15.75" customHeight="1">
      <c r="A24" s="88"/>
      <c r="E24" s="11"/>
      <c r="F24" s="11"/>
      <c r="G24" s="49"/>
      <c r="H24" s="19"/>
      <c r="I24" s="19"/>
      <c r="L24" s="11"/>
      <c r="M24" s="50"/>
      <c r="N24" s="22"/>
      <c r="Q24" s="78"/>
      <c r="T24" s="50"/>
      <c r="U24" s="11"/>
      <c r="V24" s="19"/>
    </row>
    <row r="25" ht="15.75" customHeight="1">
      <c r="A25" s="6" t="s">
        <v>79</v>
      </c>
      <c r="B25" s="97"/>
      <c r="C25" s="7"/>
      <c r="D25" s="7"/>
      <c r="E25" s="98"/>
      <c r="F25" s="11"/>
      <c r="G25" s="10"/>
      <c r="H25" s="11"/>
      <c r="I25" s="8"/>
      <c r="J25" s="8"/>
      <c r="K25" s="7"/>
      <c r="L25" s="9"/>
      <c r="M25" s="12"/>
      <c r="N25" s="13"/>
      <c r="Q25" s="78"/>
      <c r="R25" s="7"/>
      <c r="S25" s="7"/>
      <c r="T25" s="12"/>
      <c r="U25" s="9"/>
      <c r="V25" s="8"/>
    </row>
    <row r="26" ht="15.75" customHeight="1">
      <c r="A26" s="33"/>
      <c r="B26" s="91" t="s">
        <v>177</v>
      </c>
      <c r="C26" s="23" t="s">
        <v>178</v>
      </c>
      <c r="D26" s="23"/>
      <c r="E26" s="11" t="str">
        <f>IFERROR(__xludf.DUMMYFUNCTION("SPARKLINE(GOOGLEFINANCE(B26, ""price"", TODAY()-365, TODAY(), ""DAILY""))"),"")</f>
        <v/>
      </c>
      <c r="F26" s="85">
        <f>IFERROR(__xludf.DUMMYFUNCTION("IFERROR(GOOGLEFINANCE(""ETR:FIV"", ""price""), 0)*GOOGLEFINANCE(""CURRENCY:EURUSD"")"),59.552955000000004)</f>
        <v>59.552955</v>
      </c>
      <c r="G26" s="92">
        <v>401.0</v>
      </c>
      <c r="H26" s="29">
        <f t="shared" ref="H26:H32" si="13">F26*G26</f>
        <v>23880.73496</v>
      </c>
      <c r="I26" s="19">
        <f t="shared" ref="I26:I33" si="14">H26/$H$121</f>
        <v>0.008958564695</v>
      </c>
      <c r="J26" s="99">
        <v>0.01</v>
      </c>
      <c r="K26" s="23"/>
      <c r="L26" s="94">
        <v>94.914</v>
      </c>
      <c r="M26" s="28">
        <v>44524.0</v>
      </c>
      <c r="N26" s="100">
        <f t="shared" ref="N26:N32" si="15">(F26/L26-1)</f>
        <v>-0.3725587901</v>
      </c>
      <c r="O26" s="19">
        <f>IFERROR(__xludf.DUMMYFUNCTION("N26 - ((GOOGLEFINANCE(""XLF"")/INDEX(GOOGLEFINANCE(""XLF"",""price"",M26),2,2))-1)"),-0.6416360967957501)</f>
        <v>-0.6416360968</v>
      </c>
      <c r="P26" s="19">
        <f>IFERROR(__xludf.DUMMYFUNCTION("N26 - ((GOOGLEFINANCE(""SPY"")/INDEX(GOOGLEFINANCE(""SPY"",""price"",M26),2,2))-1)"),-0.8264400102398154)</f>
        <v>-0.8264400102</v>
      </c>
      <c r="Q26" s="78">
        <f>IFERROR(__xludf.DUMMYFUNCTION("IFERROR(GOOGLEFINANCE(B26, ""beta""), ""N/A"")"),0.78)</f>
        <v>0.78</v>
      </c>
      <c r="R26" s="23"/>
      <c r="S26" s="91" t="s">
        <v>179</v>
      </c>
      <c r="T26" s="96">
        <v>45960.0</v>
      </c>
      <c r="U26" s="29">
        <v>117.26</v>
      </c>
      <c r="V26" s="19">
        <f t="shared" ref="V26:V31" si="16">IFERROR(F26/U26-1, "NA")</f>
        <v>-0.4921289869</v>
      </c>
    </row>
    <row r="27" ht="15.75" customHeight="1">
      <c r="A27" s="33"/>
      <c r="B27" s="23" t="s">
        <v>106</v>
      </c>
      <c r="C27" s="23" t="s">
        <v>180</v>
      </c>
      <c r="D27" s="23"/>
      <c r="E27" s="11" t="str">
        <f>IFERROR(__xludf.DUMMYFUNCTION("SPARKLINE(GOOGLEFINANCE(B27, ""price"", TODAY()-365, TODAY(), ""DAILY""))"),"")</f>
        <v/>
      </c>
      <c r="F27" s="11">
        <f>IFERROR(__xludf.DUMMYFUNCTION("IFERROR(GOOGLEFINANCE(B27), 0)"),98.38)</f>
        <v>98.38</v>
      </c>
      <c r="G27" s="89">
        <v>561.0</v>
      </c>
      <c r="H27" s="29">
        <f t="shared" si="13"/>
        <v>55191.18</v>
      </c>
      <c r="I27" s="19">
        <f t="shared" si="14"/>
        <v>0.02070429397</v>
      </c>
      <c r="J27" s="101">
        <v>0.0145</v>
      </c>
      <c r="K27" s="23"/>
      <c r="L27" s="29">
        <v>55.14</v>
      </c>
      <c r="M27" s="28">
        <v>44790.204081632655</v>
      </c>
      <c r="N27" s="100">
        <f t="shared" si="15"/>
        <v>0.7841857091</v>
      </c>
      <c r="O27" s="19">
        <f>IFERROR(__xludf.DUMMYFUNCTION("N27 - ((GOOGLEFINANCE(""XLF"")/INDEX(GOOGLEFINANCE(""XLF"",""price"",M27),2,2))-1)"),0.3558949428958471)</f>
        <v>0.3558949429</v>
      </c>
      <c r="P27" s="19">
        <f>IFERROR(__xludf.DUMMYFUNCTION("N27 - ((GOOGLEFINANCE(""SPY"")/INDEX(GOOGLEFINANCE(""SPY"",""price"",M27),2,2))-1)"),0.18449040850641873)</f>
        <v>0.1844904085</v>
      </c>
      <c r="Q27" s="78">
        <f>IFERROR(__xludf.DUMMYFUNCTION("IFERROR(GOOGLEFINANCE(B27, ""beta""), ""N/A"")"),0.42)</f>
        <v>0.42</v>
      </c>
      <c r="R27" s="23"/>
      <c r="S27" s="23" t="s">
        <v>19</v>
      </c>
      <c r="T27" s="50">
        <v>45706.0</v>
      </c>
      <c r="U27" s="29">
        <v>101.5</v>
      </c>
      <c r="V27" s="19">
        <f t="shared" si="16"/>
        <v>-0.03073891626</v>
      </c>
    </row>
    <row r="28" ht="15.75" customHeight="1">
      <c r="A28" s="33"/>
      <c r="B28" s="23" t="s">
        <v>181</v>
      </c>
      <c r="C28" s="23" t="s">
        <v>182</v>
      </c>
      <c r="D28" s="23"/>
      <c r="E28" s="11" t="str">
        <f>IFERROR(__xludf.DUMMYFUNCTION("SPARKLINE(GOOGLEFINANCE(B28, ""price"", TODAY()-365, TODAY(), ""DAILY""))"),"")</f>
        <v/>
      </c>
      <c r="F28" s="11">
        <f>IFERROR(__xludf.DUMMYFUNCTION("IFERROR(GOOGLEFINANCE(B28), 0)"),152.99)</f>
        <v>152.99</v>
      </c>
      <c r="G28" s="89">
        <v>162.0</v>
      </c>
      <c r="H28" s="29">
        <f t="shared" si="13"/>
        <v>24784.38</v>
      </c>
      <c r="I28" s="19">
        <f t="shared" si="14"/>
        <v>0.009297556046</v>
      </c>
      <c r="J28" s="101">
        <v>0.0145</v>
      </c>
      <c r="K28" s="23"/>
      <c r="L28" s="29">
        <v>147.16</v>
      </c>
      <c r="M28" s="28">
        <v>45212.0</v>
      </c>
      <c r="N28" s="100">
        <f t="shared" si="15"/>
        <v>0.03961674368</v>
      </c>
      <c r="O28" s="19">
        <f>IFERROR(__xludf.DUMMYFUNCTION("N28 - ((GOOGLEFINANCE(""XLF"")/INDEX(GOOGLEFINANCE(""XLF"",""price"",M28),2,2))-1)"),-0.4927530244617777)</f>
        <v>-0.4927530245</v>
      </c>
      <c r="P28" s="19">
        <f>IFERROR(__xludf.DUMMYFUNCTION("N28 - ((GOOGLEFINANCE(""SPY"")/INDEX(GOOGLEFINANCE(""SPY"",""price"",M28),2,2))-1)"),-0.542098204175967)</f>
        <v>-0.5420982042</v>
      </c>
      <c r="Q28" s="78">
        <f>IFERROR(__xludf.DUMMYFUNCTION("IFERROR(GOOGLEFINANCE(B28, ""beta""), ""N/A"")"),0.99)</f>
        <v>0.99</v>
      </c>
      <c r="R28" s="23"/>
      <c r="S28" s="23" t="s">
        <v>19</v>
      </c>
      <c r="T28" s="50">
        <v>45729.0</v>
      </c>
      <c r="U28" s="29">
        <v>245.0</v>
      </c>
      <c r="V28" s="19">
        <f t="shared" si="16"/>
        <v>-0.3755510204</v>
      </c>
    </row>
    <row r="29" ht="15.75" customHeight="1">
      <c r="A29" s="33"/>
      <c r="B29" s="23" t="s">
        <v>183</v>
      </c>
      <c r="C29" s="23" t="s">
        <v>184</v>
      </c>
      <c r="D29" s="23"/>
      <c r="E29" s="11" t="str">
        <f>IFERROR(__xludf.DUMMYFUNCTION("SPARKLINE(GOOGLEFINANCE(B29, ""price"", TODAY()-365, TODAY(), ""DAILY""))"),"")</f>
        <v/>
      </c>
      <c r="F29" s="11">
        <f>IFERROR(__xludf.DUMMYFUNCTION("IFERROR(GOOGLEFINANCE(B29), 0)"),409.79)</f>
        <v>409.79</v>
      </c>
      <c r="G29" s="92">
        <v>150.0</v>
      </c>
      <c r="H29" s="29">
        <f t="shared" si="13"/>
        <v>61468.5</v>
      </c>
      <c r="I29" s="19">
        <f t="shared" si="14"/>
        <v>0.02305915354</v>
      </c>
      <c r="J29" s="101">
        <v>0.0167</v>
      </c>
      <c r="K29" s="23"/>
      <c r="L29" s="102">
        <v>442.15123893805304</v>
      </c>
      <c r="M29" s="28">
        <v>45372.0</v>
      </c>
      <c r="N29" s="100">
        <f t="shared" si="15"/>
        <v>-0.07319042917</v>
      </c>
      <c r="O29" s="19">
        <f>IFERROR(__xludf.DUMMYFUNCTION("N29 - ((GOOGLEFINANCE(""XLF"")/INDEX(GOOGLEFINANCE(""XLF"",""price"",M29),2,2))-1)"),-0.28774890172851597)</f>
        <v>-0.2877489017</v>
      </c>
      <c r="P29" s="19">
        <f>IFERROR(__xludf.DUMMYFUNCTION("N29 - ((GOOGLEFINANCE(""SPY"")/INDEX(GOOGLEFINANCE(""SPY"",""price"",M29),2,2))-1)"),-0.3801800883092479)</f>
        <v>-0.3801800883</v>
      </c>
      <c r="Q29" s="78">
        <f>IFERROR(__xludf.DUMMYFUNCTION("IFERROR(GOOGLEFINANCE(B29, ""beta""), ""N/A"")"),1.2)</f>
        <v>1.2</v>
      </c>
      <c r="R29" s="23"/>
      <c r="S29" s="23" t="s">
        <v>185</v>
      </c>
      <c r="T29" s="50">
        <v>45365.0</v>
      </c>
      <c r="U29" s="29">
        <v>505.86</v>
      </c>
      <c r="V29" s="19">
        <f t="shared" si="16"/>
        <v>-0.1899142055</v>
      </c>
    </row>
    <row r="30" ht="15.75" customHeight="1">
      <c r="A30" s="33"/>
      <c r="B30" s="23" t="s">
        <v>186</v>
      </c>
      <c r="C30" s="23" t="s">
        <v>187</v>
      </c>
      <c r="D30" s="23"/>
      <c r="E30" s="11" t="str">
        <f>IFERROR(__xludf.DUMMYFUNCTION("SPARKLINE(GOOGLEFINANCE(B30, ""price"", TODAY()-365, TODAY(), ""DAILY""))"),"")</f>
        <v/>
      </c>
      <c r="F30" s="11">
        <f>IFERROR(__xludf.DUMMYFUNCTION("IFERROR(GOOGLEFINANCE(B30), 0)"),127.48)</f>
        <v>127.48</v>
      </c>
      <c r="G30" s="92">
        <v>802.0</v>
      </c>
      <c r="H30" s="29">
        <f t="shared" si="13"/>
        <v>102238.96</v>
      </c>
      <c r="I30" s="19">
        <f t="shared" si="14"/>
        <v>0.03835369134</v>
      </c>
      <c r="J30" s="101">
        <v>0.0165</v>
      </c>
      <c r="K30" s="23"/>
      <c r="L30" s="102">
        <v>62.00689207650274</v>
      </c>
      <c r="M30" s="28">
        <v>45597.0</v>
      </c>
      <c r="N30" s="100">
        <f t="shared" si="15"/>
        <v>1.055900493</v>
      </c>
      <c r="O30" s="19">
        <f>IFERROR(__xludf.DUMMYFUNCTION("N30 - ((GOOGLEFINANCE(""XLF"")/INDEX(GOOGLEFINANCE(""XLF"",""price"",M30),2,2))-1)"),0.9647769940272952)</f>
        <v>0.964776994</v>
      </c>
      <c r="P30" s="19">
        <f>IFERROR(__xludf.DUMMYFUNCTION("N30 - ((GOOGLEFINANCE(""SPY"")/INDEX(GOOGLEFINANCE(""SPY"",""price"",M30),2,2))-1)"),0.8606952536067594)</f>
        <v>0.8606952536</v>
      </c>
      <c r="Q30" s="78">
        <f>IFERROR(__xludf.DUMMYFUNCTION("IFERROR(GOOGLEFINANCE(B30, ""beta""), ""N/A"")"),0.22)</f>
        <v>0.22</v>
      </c>
      <c r="R30" s="23"/>
      <c r="S30" s="23" t="s">
        <v>188</v>
      </c>
      <c r="T30" s="50">
        <v>45597.0</v>
      </c>
      <c r="U30" s="29">
        <v>101.14</v>
      </c>
      <c r="V30" s="19">
        <f t="shared" si="16"/>
        <v>0.2604310856</v>
      </c>
    </row>
    <row r="31" ht="15.75" customHeight="1">
      <c r="A31" s="33"/>
      <c r="B31" s="91" t="s">
        <v>189</v>
      </c>
      <c r="C31" s="91" t="s">
        <v>190</v>
      </c>
      <c r="D31" s="23"/>
      <c r="E31" s="11" t="str">
        <f>IFERROR(__xludf.DUMMYFUNCTION("SPARKLINE(GOOGLEFINANCE(B31, ""price"", TODAY()-365, TODAY(), ""DAILY""))"),"")</f>
        <v/>
      </c>
      <c r="F31" s="11">
        <f>IFERROR(__xludf.DUMMYFUNCTION("IFERROR(GOOGLEFINANCE(B31), 0)"),40.29)</f>
        <v>40.29</v>
      </c>
      <c r="G31" s="92">
        <v>910.0</v>
      </c>
      <c r="H31" s="29">
        <f t="shared" si="13"/>
        <v>36663.9</v>
      </c>
      <c r="I31" s="19">
        <f t="shared" si="14"/>
        <v>0.01375401221</v>
      </c>
      <c r="J31" s="99">
        <v>0.0125</v>
      </c>
      <c r="K31" s="23"/>
      <c r="L31" s="103">
        <v>36.219</v>
      </c>
      <c r="M31" s="95">
        <v>45964.0</v>
      </c>
      <c r="N31" s="100">
        <f t="shared" si="15"/>
        <v>0.1123995693</v>
      </c>
      <c r="O31" s="19">
        <f>IFERROR(__xludf.DUMMYFUNCTION("N31 - ((GOOGLEFINANCE(""XLF"")/INDEX(GOOGLEFINANCE(""XLF"",""price"",M31),2,2))-1)"),0.13656064311234162)</f>
        <v>0.1365606431</v>
      </c>
      <c r="P31" s="19">
        <f>IFERROR(__xludf.DUMMYFUNCTION("N31 - ((GOOGLEFINANCE(""SPY"")/INDEX(GOOGLEFINANCE(""SPY"",""price"",M31),2,2))-1)"),0.11361419158320618)</f>
        <v>0.1136141916</v>
      </c>
      <c r="Q31" s="78" t="str">
        <f>IFERROR(__xludf.DUMMYFUNCTION("IFERROR(GOOGLEFINANCE(B31, ""beta""), ""N/A"")"),"N/A")</f>
        <v>N/A</v>
      </c>
      <c r="R31" s="23"/>
      <c r="S31" s="91" t="s">
        <v>33</v>
      </c>
      <c r="T31" s="96">
        <v>45958.0</v>
      </c>
      <c r="U31" s="94">
        <v>63.07</v>
      </c>
      <c r="V31" s="19">
        <f t="shared" si="16"/>
        <v>-0.3611859838</v>
      </c>
    </row>
    <row r="32" ht="15.75" customHeight="1">
      <c r="A32" s="33"/>
      <c r="B32" s="23" t="s">
        <v>78</v>
      </c>
      <c r="C32" s="23" t="s">
        <v>191</v>
      </c>
      <c r="D32" s="23"/>
      <c r="E32" s="11" t="str">
        <f>IFERROR(__xludf.DUMMYFUNCTION("SPARKLINE(GOOGLEFINANCE(B32, ""price"", TODAY()-365, TODAY(), ""DAILY""))"),"")</f>
        <v/>
      </c>
      <c r="F32" s="11">
        <f>IFERROR(__xludf.DUMMYFUNCTION("IFERROR(GOOGLEFINANCE(B32), 0)"),50.89)</f>
        <v>50.89</v>
      </c>
      <c r="G32" s="89">
        <v>0.0</v>
      </c>
      <c r="H32" s="29">
        <f t="shared" si="13"/>
        <v>0</v>
      </c>
      <c r="I32" s="19">
        <f t="shared" si="14"/>
        <v>0</v>
      </c>
      <c r="J32" s="101">
        <f>I32</f>
        <v>0</v>
      </c>
      <c r="K32" s="23"/>
      <c r="L32" s="29">
        <v>38.69</v>
      </c>
      <c r="M32" s="28">
        <v>45317.0</v>
      </c>
      <c r="N32" s="100">
        <f t="shared" si="15"/>
        <v>0.3153269579</v>
      </c>
      <c r="Q32" s="78" t="str">
        <f>IFERROR(__xludf.DUMMYFUNCTION("IFERROR(GOOGLEFINANCE(B32, ""beta""), ""N/A"")"),"N/A")</f>
        <v>N/A</v>
      </c>
      <c r="R32" s="23"/>
      <c r="S32" s="23" t="s">
        <v>36</v>
      </c>
      <c r="T32" s="23" t="s">
        <v>36</v>
      </c>
      <c r="U32" s="37" t="s">
        <v>36</v>
      </c>
      <c r="V32" s="23" t="s">
        <v>36</v>
      </c>
    </row>
    <row r="33" ht="15.75" customHeight="1">
      <c r="A33" s="6" t="s">
        <v>32</v>
      </c>
      <c r="B33" s="40"/>
      <c r="C33" s="40"/>
      <c r="D33" s="40"/>
      <c r="E33" s="42"/>
      <c r="F33" s="42"/>
      <c r="G33" s="43"/>
      <c r="H33" s="42">
        <f>SUM(H26:H32)</f>
        <v>304227.655</v>
      </c>
      <c r="I33" s="41">
        <f t="shared" si="14"/>
        <v>0.1141272718</v>
      </c>
      <c r="J33" s="81">
        <v>0.115</v>
      </c>
      <c r="K33" s="40"/>
      <c r="L33" s="42">
        <f>SUMPRODUCT(L26:L32*G26:G32)</f>
        <v>241845.4773</v>
      </c>
      <c r="M33" s="44">
        <f>AVERAGE(M26:M32)</f>
        <v>45253.74344</v>
      </c>
      <c r="N33" s="45">
        <f>H33/L33-1</f>
        <v>0.2579422959</v>
      </c>
      <c r="O33" s="82"/>
      <c r="P33" s="82"/>
      <c r="Q33" s="83">
        <f>SUMPRODUCT(I26:I29/SUMIF(Q26:Q29, "&lt;&gt;N/A", I26:I29),Q26:Q29)</f>
        <v>0.8474591189</v>
      </c>
      <c r="R33" s="40"/>
      <c r="S33" s="40"/>
      <c r="T33" s="44"/>
      <c r="U33" s="42"/>
      <c r="V33" s="41"/>
    </row>
    <row r="34" ht="15.75" customHeight="1">
      <c r="A34" s="104"/>
      <c r="E34" s="11"/>
      <c r="F34" s="11"/>
      <c r="G34" s="49"/>
      <c r="H34" s="11"/>
      <c r="I34" s="19"/>
      <c r="J34" s="19"/>
      <c r="L34" s="11"/>
      <c r="M34" s="50"/>
      <c r="N34" s="22"/>
      <c r="Q34" s="78"/>
      <c r="T34" s="50"/>
      <c r="U34" s="11"/>
      <c r="V34" s="19"/>
    </row>
    <row r="35" ht="15.75" customHeight="1">
      <c r="A35" s="6" t="s">
        <v>81</v>
      </c>
      <c r="B35" s="7"/>
      <c r="C35" s="7"/>
      <c r="D35" s="7"/>
      <c r="E35" s="9"/>
      <c r="F35" s="9"/>
      <c r="G35" s="105"/>
      <c r="H35" s="11"/>
      <c r="I35" s="8"/>
      <c r="J35" s="8"/>
      <c r="K35" s="7"/>
      <c r="L35" s="9"/>
      <c r="M35" s="12"/>
      <c r="N35" s="13"/>
      <c r="Q35" s="78"/>
      <c r="R35" s="7"/>
      <c r="S35" s="7"/>
      <c r="T35" s="12"/>
      <c r="U35" s="9"/>
      <c r="V35" s="8"/>
    </row>
    <row r="36" ht="15.75" customHeight="1">
      <c r="A36" s="17"/>
      <c r="B36" s="23" t="s">
        <v>109</v>
      </c>
      <c r="C36" s="23" t="s">
        <v>192</v>
      </c>
      <c r="E36" s="11" t="str">
        <f>IFERROR(__xludf.DUMMYFUNCTION("SPARKLINE(GOOGLEFINANCE(B36, ""price"", TODAY()-365, TODAY(), ""DAILY""))"),"")</f>
        <v/>
      </c>
      <c r="F36" s="11">
        <f>IFERROR(__xludf.DUMMYFUNCTION("IFERROR(GOOGLEFINANCE(B36), 0)"),509.54)</f>
        <v>509.54</v>
      </c>
      <c r="G36" s="77">
        <v>84.0</v>
      </c>
      <c r="H36" s="11">
        <f t="shared" ref="H36:H41" si="17">F36*G36</f>
        <v>42801.36</v>
      </c>
      <c r="I36" s="19">
        <f t="shared" ref="I36:I42" si="18">H36/$H$121</f>
        <v>0.01605640502</v>
      </c>
      <c r="J36" s="22">
        <v>0.015</v>
      </c>
      <c r="L36" s="85">
        <v>433.0</v>
      </c>
      <c r="M36" s="50">
        <v>43768.0</v>
      </c>
      <c r="N36" s="22">
        <f t="shared" ref="N36:N41" si="19">(F36/L36-1)</f>
        <v>0.1767667436</v>
      </c>
      <c r="O36" s="19">
        <f>IFERROR(__xludf.DUMMYFUNCTION("N36 - ((GOOGLEFINANCE(""XLV"")/INDEX(GOOGLEFINANCE(""XLV"",""price"",M36),2,2))-1)"),-0.49084868962112127)</f>
        <v>-0.4908486896</v>
      </c>
      <c r="P36" s="19">
        <f>IFERROR(__xludf.DUMMYFUNCTION("N36 - ((GOOGLEFINANCE(""SPY"")/INDEX(GOOGLEFINANCE(""SPY"",""price"",M36),2,2))-1)"),-1.0672984894673672)</f>
        <v>-1.067298489</v>
      </c>
      <c r="Q36" s="78">
        <f>IFERROR(__xludf.DUMMYFUNCTION("IFERROR(GOOGLEFINANCE(B36, ""beta""), ""N/A"")"),0.93)</f>
        <v>0.93</v>
      </c>
      <c r="S36" s="23" t="s">
        <v>25</v>
      </c>
      <c r="T36" s="96">
        <v>45200.0</v>
      </c>
      <c r="U36" s="11">
        <v>306.96</v>
      </c>
      <c r="V36" s="19">
        <f t="shared" ref="V36:V41" si="20">IFERROR(F36/U36-1, "NA")</f>
        <v>0.6599556946</v>
      </c>
    </row>
    <row r="37" ht="15.75" customHeight="1">
      <c r="A37" s="17"/>
      <c r="B37" s="23" t="s">
        <v>110</v>
      </c>
      <c r="C37" s="23" t="s">
        <v>193</v>
      </c>
      <c r="E37" s="11" t="str">
        <f>IFERROR(__xludf.DUMMYFUNCTION("SPARKLINE(GOOGLEFINANCE(B37, ""price"", TODAY()-365, TODAY(), ""DAILY""))"),"")</f>
        <v/>
      </c>
      <c r="F37" s="11">
        <f>IFERROR(__xludf.DUMMYFUNCTION("IFERROR(GOOGLEFINANCE(B37), 0)"),287.76)</f>
        <v>287.76</v>
      </c>
      <c r="G37" s="77">
        <v>224.0</v>
      </c>
      <c r="H37" s="11">
        <f t="shared" si="17"/>
        <v>64458.24</v>
      </c>
      <c r="I37" s="19">
        <f t="shared" si="18"/>
        <v>0.02418071781</v>
      </c>
      <c r="J37" s="22">
        <v>0.015</v>
      </c>
      <c r="L37" s="11">
        <v>336.88796874999997</v>
      </c>
      <c r="M37" s="50">
        <v>44313.0</v>
      </c>
      <c r="N37" s="22">
        <f t="shared" si="19"/>
        <v>-0.1458288016</v>
      </c>
      <c r="O37" s="19">
        <f>IFERROR(__xludf.DUMMYFUNCTION("N37 - ((GOOGLEFINANCE(""XLV"")/INDEX(GOOGLEFINANCE(""XLV"",""price"",M37),2,2))-1)"),-0.43664887502079863)</f>
        <v>-0.436648875</v>
      </c>
      <c r="P37" s="19">
        <f>IFERROR(__xludf.DUMMYFUNCTION("N37 - ((GOOGLEFINANCE(""SPY"")/INDEX(GOOGLEFINANCE(""SPY"",""price"",M37),2,2))-1)"),-0.7805049847582402)</f>
        <v>-0.7805049848</v>
      </c>
      <c r="Q37" s="78">
        <f>IFERROR(__xludf.DUMMYFUNCTION("IFERROR(GOOGLEFINANCE(B37, ""beta""), ""N/A"")"),0.41)</f>
        <v>0.41</v>
      </c>
      <c r="S37" s="91" t="s">
        <v>194</v>
      </c>
      <c r="T37" s="96">
        <v>45930.0</v>
      </c>
      <c r="U37" s="11">
        <v>450.21</v>
      </c>
      <c r="V37" s="19">
        <f t="shared" si="20"/>
        <v>-0.3608316119</v>
      </c>
    </row>
    <row r="38" ht="15.75" customHeight="1">
      <c r="A38" s="17"/>
      <c r="B38" s="23" t="s">
        <v>112</v>
      </c>
      <c r="C38" s="23" t="s">
        <v>195</v>
      </c>
      <c r="E38" s="11" t="str">
        <f>IFERROR(__xludf.DUMMYFUNCTION("SPARKLINE(GOOGLEFINANCE(B38, ""price"", TODAY()-365, TODAY(), ""DAILY""))"),"")</f>
        <v/>
      </c>
      <c r="F38" s="11">
        <f>IFERROR(__xludf.DUMMYFUNCTION("IFERROR(GOOGLEFINANCE(B38), 0)"),174.01)</f>
        <v>174.01</v>
      </c>
      <c r="G38" s="77">
        <v>223.0</v>
      </c>
      <c r="H38" s="11">
        <f t="shared" si="17"/>
        <v>38804.23</v>
      </c>
      <c r="I38" s="19">
        <f t="shared" si="18"/>
        <v>0.01455693075</v>
      </c>
      <c r="J38" s="22">
        <v>0.015</v>
      </c>
      <c r="L38" s="11">
        <v>181.05</v>
      </c>
      <c r="M38" s="50">
        <v>44991.0</v>
      </c>
      <c r="N38" s="22">
        <f t="shared" si="19"/>
        <v>-0.03888428611</v>
      </c>
      <c r="O38" s="19">
        <f>IFERROR(__xludf.DUMMYFUNCTION("N38 - ((GOOGLEFINANCE(""XLV"")/INDEX(GOOGLEFINANCE(""XLV"",""price"",M38),2,2))-1)"),-0.26411858244526687)</f>
        <v>-0.2641185824</v>
      </c>
      <c r="P38" s="19">
        <f>IFERROR(__xludf.DUMMYFUNCTION("N38 - ((GOOGLEFINANCE(""SPY"")/INDEX(GOOGLEFINANCE(""SPY"",""price"",M38),2,2))-1)"),-0.7263023888111114)</f>
        <v>-0.7263023888</v>
      </c>
      <c r="Q38" s="78">
        <f>IFERROR(__xludf.DUMMYFUNCTION("IFERROR(GOOGLEFINANCE(B38, ""beta""), ""N/A"")"),1.08)</f>
        <v>1.08</v>
      </c>
      <c r="S38" s="23" t="s">
        <v>21</v>
      </c>
      <c r="T38" s="50">
        <v>44985.0</v>
      </c>
      <c r="U38" s="11">
        <v>203.57</v>
      </c>
      <c r="V38" s="19">
        <f t="shared" si="20"/>
        <v>-0.1452080365</v>
      </c>
    </row>
    <row r="39" ht="15.75" customHeight="1">
      <c r="A39" s="17"/>
      <c r="B39" s="23" t="s">
        <v>196</v>
      </c>
      <c r="C39" s="23" t="s">
        <v>197</v>
      </c>
      <c r="E39" s="11" t="str">
        <f>IFERROR(__xludf.DUMMYFUNCTION("SPARKLINE(GOOGLEFINANCE(B39, ""price"", TODAY()-365, TODAY(), ""DAILY""))"),"")</f>
        <v/>
      </c>
      <c r="F39" s="11">
        <f>IFERROR(__xludf.DUMMYFUNCTION("IFERROR(GOOGLEFINANCE(B39), 0)"),45.23)</f>
        <v>45.23</v>
      </c>
      <c r="G39" s="77">
        <v>1696.0</v>
      </c>
      <c r="H39" s="11">
        <f t="shared" si="17"/>
        <v>76710.08</v>
      </c>
      <c r="I39" s="19">
        <f t="shared" si="18"/>
        <v>0.02877684526</v>
      </c>
      <c r="J39" s="22">
        <v>0.0136</v>
      </c>
      <c r="L39" s="11">
        <v>28.594828539823013</v>
      </c>
      <c r="M39" s="50">
        <v>45401.0</v>
      </c>
      <c r="N39" s="22">
        <f t="shared" si="19"/>
        <v>0.5817545448</v>
      </c>
      <c r="O39" s="19">
        <f>IFERROR(__xludf.DUMMYFUNCTION("N39 - ((GOOGLEFINANCE(""XLV"")/INDEX(GOOGLEFINANCE(""XLV"",""price"",M39),2,2))-1)"),0.4432874702903298)</f>
        <v>0.4432874703</v>
      </c>
      <c r="P39" s="19">
        <f>IFERROR(__xludf.DUMMYFUNCTION("N39 - ((GOOGLEFINANCE(""SPY"")/INDEX(GOOGLEFINANCE(""SPY"",""price"",M39),2,2))-1)"),0.2033919952985992)</f>
        <v>0.2033919953</v>
      </c>
      <c r="Q39" s="78">
        <f>IFERROR(__xludf.DUMMYFUNCTION("IFERROR(GOOGLEFINANCE(B39, ""beta""), ""N/A"")"),0.42)</f>
        <v>0.42</v>
      </c>
      <c r="S39" s="23" t="s">
        <v>198</v>
      </c>
      <c r="T39" s="50">
        <v>45400.0</v>
      </c>
      <c r="U39" s="11">
        <v>40.76</v>
      </c>
      <c r="V39" s="19">
        <f t="shared" si="20"/>
        <v>0.1096663395</v>
      </c>
    </row>
    <row r="40" ht="15.75" customHeight="1">
      <c r="A40" s="17"/>
      <c r="B40" s="91" t="s">
        <v>111</v>
      </c>
      <c r="C40" s="91" t="s">
        <v>199</v>
      </c>
      <c r="E40" s="11" t="str">
        <f>IFERROR(__xludf.DUMMYFUNCTION("SPARKLINE(GOOGLEFINANCE(B40, ""price"", TODAY()-365, TODAY(), ""DAILY""))"),"")</f>
        <v/>
      </c>
      <c r="F40" s="11">
        <f>IFERROR(__xludf.DUMMYFUNCTION("IFERROR(GOOGLEFINANCE(B40), 0)"),123.15)</f>
        <v>123.15</v>
      </c>
      <c r="G40" s="77">
        <v>332.0</v>
      </c>
      <c r="H40" s="11">
        <f t="shared" si="17"/>
        <v>40885.8</v>
      </c>
      <c r="I40" s="19">
        <f t="shared" si="18"/>
        <v>0.01533780619</v>
      </c>
      <c r="J40" s="106">
        <v>0.01</v>
      </c>
      <c r="L40" s="85">
        <v>83.581</v>
      </c>
      <c r="M40" s="96">
        <v>45964.0</v>
      </c>
      <c r="N40" s="22">
        <f t="shared" si="19"/>
        <v>0.4734209928</v>
      </c>
      <c r="O40" s="19">
        <f>IFERROR(__xludf.DUMMYFUNCTION("N40 - ((GOOGLEFINANCE(""XLV"")/INDEX(GOOGLEFINANCE(""XLV"",""price"",M40),2,2))-1)"),0.3783015743254661)</f>
        <v>0.3783015743</v>
      </c>
      <c r="P40" s="19">
        <f>IFERROR(__xludf.DUMMYFUNCTION("N40 - ((GOOGLEFINANCE(""SPY"")/INDEX(GOOGLEFINANCE(""SPY"",""price"",M40),2,2))-1)"),0.4746356151057386)</f>
        <v>0.4746356151</v>
      </c>
      <c r="Q40" s="78">
        <f>IFERROR(__xludf.DUMMYFUNCTION("IFERROR(GOOGLEFINANCE(B40, ""beta""), ""N/A"")"),0.28)</f>
        <v>0.28</v>
      </c>
      <c r="S40" s="91" t="s">
        <v>34</v>
      </c>
      <c r="T40" s="96">
        <v>45958.0</v>
      </c>
      <c r="U40" s="85">
        <v>109.66</v>
      </c>
      <c r="V40" s="19">
        <f t="shared" si="20"/>
        <v>0.1230165968</v>
      </c>
    </row>
    <row r="41" ht="15.75" customHeight="1">
      <c r="A41" s="17"/>
      <c r="B41" s="23" t="s">
        <v>80</v>
      </c>
      <c r="C41" s="23" t="s">
        <v>200</v>
      </c>
      <c r="E41" s="11" t="str">
        <f>IFERROR(__xludf.DUMMYFUNCTION("SPARKLINE(GOOGLEFINANCE(B41, ""price"", TODAY()-365, TODAY(), ""DAILY""))"),"")</f>
        <v/>
      </c>
      <c r="F41" s="11">
        <f>IFERROR(__xludf.DUMMYFUNCTION("IFERROR(GOOGLEFINANCE(B41), 0)"),158.19)</f>
        <v>158.19</v>
      </c>
      <c r="G41" s="49">
        <v>0.0</v>
      </c>
      <c r="H41" s="11">
        <f t="shared" si="17"/>
        <v>0</v>
      </c>
      <c r="I41" s="19">
        <f t="shared" si="18"/>
        <v>0</v>
      </c>
      <c r="J41" s="22">
        <f>I41</f>
        <v>0</v>
      </c>
      <c r="L41" s="11">
        <v>139.31</v>
      </c>
      <c r="M41" s="50">
        <v>45317.0</v>
      </c>
      <c r="N41" s="22">
        <f t="shared" si="19"/>
        <v>0.1355250879</v>
      </c>
      <c r="Q41" s="78" t="str">
        <f>IFERROR(__xludf.DUMMYFUNCTION("IFERROR(GOOGLEFINANCE(B41, ""beta""), ""N/A"")"),"N/A")</f>
        <v>N/A</v>
      </c>
      <c r="S41" s="23" t="s">
        <v>36</v>
      </c>
      <c r="T41" s="23" t="s">
        <v>36</v>
      </c>
      <c r="U41" s="11" t="s">
        <v>36</v>
      </c>
      <c r="V41" s="19" t="str">
        <f t="shared" si="20"/>
        <v>NA</v>
      </c>
    </row>
    <row r="42" ht="15.75" customHeight="1">
      <c r="A42" s="6" t="s">
        <v>32</v>
      </c>
      <c r="B42" s="40"/>
      <c r="C42" s="40"/>
      <c r="D42" s="40"/>
      <c r="E42" s="42"/>
      <c r="F42" s="42"/>
      <c r="G42" s="43"/>
      <c r="H42" s="42">
        <f>SUM(H36:H41)</f>
        <v>263659.71</v>
      </c>
      <c r="I42" s="41">
        <f t="shared" si="18"/>
        <v>0.09890870503</v>
      </c>
      <c r="J42" s="81">
        <v>0.1</v>
      </c>
      <c r="K42" s="40"/>
      <c r="L42" s="42">
        <f>SUMPRODUCT(L36:L41*G36:G41)</f>
        <v>228454.7762</v>
      </c>
      <c r="M42" s="44">
        <f>AVERAGE(M36:M41)</f>
        <v>44959</v>
      </c>
      <c r="N42" s="45">
        <f>H42/L42-1</f>
        <v>0.154100231</v>
      </c>
      <c r="O42" s="82"/>
      <c r="P42" s="82"/>
      <c r="Q42" s="83">
        <f>SUMPRODUCT(I36:I41/SUMIF(Q36:Q41, "&lt;&gt;N/A", I36:I41),Q36:Q41)</f>
        <v>0.5757723438</v>
      </c>
      <c r="R42" s="40"/>
      <c r="S42" s="40"/>
      <c r="T42" s="44"/>
      <c r="U42" s="42"/>
      <c r="V42" s="41"/>
    </row>
    <row r="43" ht="15.75" customHeight="1">
      <c r="A43" s="104"/>
      <c r="E43" s="11"/>
      <c r="F43" s="11"/>
      <c r="G43" s="49"/>
      <c r="H43" s="11"/>
      <c r="I43" s="19"/>
      <c r="J43" s="19"/>
      <c r="L43" s="11"/>
      <c r="M43" s="50"/>
      <c r="N43" s="22"/>
      <c r="Q43" s="78"/>
      <c r="T43" s="50"/>
      <c r="U43" s="11"/>
      <c r="V43" s="19"/>
    </row>
    <row r="44" ht="15.75" customHeight="1">
      <c r="A44" s="6" t="s">
        <v>83</v>
      </c>
      <c r="B44" s="7"/>
      <c r="C44" s="7"/>
      <c r="D44" s="7"/>
      <c r="E44" s="9"/>
      <c r="F44" s="9"/>
      <c r="G44" s="10"/>
      <c r="H44" s="11"/>
      <c r="I44" s="8"/>
      <c r="J44" s="8"/>
      <c r="K44" s="7"/>
      <c r="L44" s="9"/>
      <c r="M44" s="12"/>
      <c r="N44" s="13"/>
      <c r="Q44" s="78"/>
      <c r="R44" s="7"/>
      <c r="S44" s="7"/>
      <c r="T44" s="12"/>
      <c r="U44" s="9"/>
      <c r="V44" s="8"/>
    </row>
    <row r="45" ht="15.75" customHeight="1">
      <c r="A45" s="17"/>
      <c r="B45" s="18" t="s">
        <v>114</v>
      </c>
      <c r="C45" s="23" t="s">
        <v>201</v>
      </c>
      <c r="E45" s="11" t="str">
        <f>IFERROR(__xludf.DUMMYFUNCTION("SPARKLINE(GOOGLEFINANCE(B45, ""price"", TODAY()-365, TODAY(), ""DAILY""))"),"")</f>
        <v/>
      </c>
      <c r="F45" s="11">
        <f>IFERROR(__xludf.DUMMYFUNCTION("IFERROR(GOOGLEFINANCE(B45), 0)"),281.66)</f>
        <v>281.66</v>
      </c>
      <c r="G45" s="87">
        <v>106.0</v>
      </c>
      <c r="H45" s="11">
        <f t="shared" ref="H45:H49" si="21">F45*G45</f>
        <v>29855.96</v>
      </c>
      <c r="I45" s="19">
        <f t="shared" ref="I45:I50" si="22">H45/$H$121</f>
        <v>0.01120009705</v>
      </c>
      <c r="J45" s="22">
        <v>0.015</v>
      </c>
      <c r="L45" s="24">
        <v>233.63859154929577</v>
      </c>
      <c r="M45" s="50">
        <v>44627.0</v>
      </c>
      <c r="N45" s="22">
        <f t="shared" ref="N45:N49" si="23">(F45/L45-1)</f>
        <v>0.2055371424</v>
      </c>
      <c r="O45" s="19">
        <f>IFERROR(__xludf.DUMMYFUNCTION("N45 - ((GOOGLEFINANCE(""XLI"")/INDEX(GOOGLEFINANCE(""XLI"",""price"",M45),2,2))-1)"),-0.5868886508904183)</f>
        <v>-0.5868886509</v>
      </c>
      <c r="P45" s="19">
        <f>IFERROR(__xludf.DUMMYFUNCTION("N45 - ((GOOGLEFINANCE(""SPY"")/INDEX(GOOGLEFINANCE(""SPY"",""price"",M45),2,2))-1)"),-0.42169505372141836)</f>
        <v>-0.4216950537</v>
      </c>
      <c r="Q45" s="78">
        <f>IFERROR(__xludf.DUMMYFUNCTION("IFERROR(GOOGLEFINANCE(B45, ""beta""), ""N/A"")"),0.87)</f>
        <v>0.87</v>
      </c>
      <c r="S45" s="18" t="s">
        <v>202</v>
      </c>
      <c r="T45" s="25">
        <v>45729.0</v>
      </c>
      <c r="U45" s="24">
        <v>294.45500000000004</v>
      </c>
      <c r="V45" s="19">
        <f t="shared" ref="V45:V49" si="24">IFERROR(F45/U45-1, "NA")</f>
        <v>-0.04345315923</v>
      </c>
    </row>
    <row r="46" ht="15.75" customHeight="1">
      <c r="A46" s="17"/>
      <c r="B46" s="18" t="s">
        <v>203</v>
      </c>
      <c r="C46" s="18" t="s">
        <v>204</v>
      </c>
      <c r="E46" s="11" t="str">
        <f>IFERROR(__xludf.DUMMYFUNCTION("SPARKLINE(GOOGLEFINANCE(B46, ""price"", TODAY()-365, TODAY(), ""DAILY""))"),"")</f>
        <v/>
      </c>
      <c r="F46" s="11">
        <f>IFERROR(__xludf.DUMMYFUNCTION("IFERROR(GOOGLEFINANCE(B46), 0)"),339.52)</f>
        <v>339.52</v>
      </c>
      <c r="G46" s="87">
        <v>285.0</v>
      </c>
      <c r="H46" s="11">
        <f t="shared" si="21"/>
        <v>96763.2</v>
      </c>
      <c r="I46" s="19">
        <f t="shared" si="22"/>
        <v>0.03629952717</v>
      </c>
      <c r="J46" s="22">
        <v>0.0084</v>
      </c>
      <c r="L46" s="24">
        <v>154.51155516062897</v>
      </c>
      <c r="M46" s="50">
        <v>45372.0</v>
      </c>
      <c r="N46" s="22">
        <f t="shared" si="23"/>
        <v>1.19737611</v>
      </c>
      <c r="O46" s="19">
        <f>IFERROR(__xludf.DUMMYFUNCTION("N46 - ((GOOGLEFINANCE(""XLI"")/INDEX(GOOGLEFINANCE(""XLI"",""price"",M46),2,2))-1)"),0.8035524867628887)</f>
        <v>0.8035524868</v>
      </c>
      <c r="P46" s="19">
        <f>IFERROR(__xludf.DUMMYFUNCTION("N46 - ((GOOGLEFINANCE(""SPY"")/INDEX(GOOGLEFINANCE(""SPY"",""price"",M46),2,2))-1)"),0.8903864506784416)</f>
        <v>0.8903864507</v>
      </c>
      <c r="Q46" s="78">
        <f>IFERROR(__xludf.DUMMYFUNCTION("IFERROR(GOOGLEFINANCE(B46, ""beta""), ""N/A"")"),1.41)</f>
        <v>1.41</v>
      </c>
      <c r="S46" s="18" t="s">
        <v>31</v>
      </c>
      <c r="T46" s="80">
        <v>45923.0</v>
      </c>
      <c r="U46" s="24">
        <v>183.64</v>
      </c>
      <c r="V46" s="19">
        <f t="shared" si="24"/>
        <v>0.8488346765</v>
      </c>
    </row>
    <row r="47" ht="15.75" customHeight="1">
      <c r="A47" s="17"/>
      <c r="B47" s="79" t="s">
        <v>205</v>
      </c>
      <c r="C47" s="79" t="s">
        <v>206</v>
      </c>
      <c r="E47" s="11" t="str">
        <f>IFERROR(__xludf.DUMMYFUNCTION("SPARKLINE(GOOGLEFINANCE(B47, ""price"", TODAY()-365, TODAY(), ""DAILY""))"),"")</f>
        <v/>
      </c>
      <c r="F47" s="11">
        <f>IFERROR(__xludf.DUMMYFUNCTION("IFERROR(GOOGLEFINANCE(B47), 0)"),63.79)</f>
        <v>63.79</v>
      </c>
      <c r="G47" s="87">
        <v>921.0</v>
      </c>
      <c r="H47" s="11">
        <f t="shared" si="21"/>
        <v>58750.59</v>
      </c>
      <c r="I47" s="19">
        <f t="shared" si="22"/>
        <v>0.02203956295</v>
      </c>
      <c r="J47" s="22">
        <v>0.0084</v>
      </c>
      <c r="L47" s="107">
        <v>48.7</v>
      </c>
      <c r="M47" s="96">
        <v>45950.0</v>
      </c>
      <c r="N47" s="22">
        <f t="shared" si="23"/>
        <v>0.3098562628</v>
      </c>
      <c r="O47" s="19">
        <f>IFERROR(__xludf.DUMMYFUNCTION("N47 - ((GOOGLEFINANCE(""XLI"")/INDEX(GOOGLEFINANCE(""XLI"",""price"",M47),2,2))-1)"),0.16915798247932412)</f>
        <v>0.1691579825</v>
      </c>
      <c r="P47" s="19">
        <f>IFERROR(__xludf.DUMMYFUNCTION("N47 - ((GOOGLEFINANCE(""SPY"")/INDEX(GOOGLEFINANCE(""SPY"",""price"",M47),2,2))-1)"),0.29315732048301246)</f>
        <v>0.2931573205</v>
      </c>
      <c r="Q47" s="78" t="str">
        <f>IFERROR(__xludf.DUMMYFUNCTION("IFERROR(GOOGLEFINANCE(B47, ""beta""), ""N/A"")"),"N/A")</f>
        <v>N/A</v>
      </c>
      <c r="S47" s="79" t="s">
        <v>21</v>
      </c>
      <c r="T47" s="80">
        <v>45944.0</v>
      </c>
      <c r="U47" s="107">
        <v>65.0</v>
      </c>
      <c r="V47" s="19">
        <f t="shared" si="24"/>
        <v>-0.01861538462</v>
      </c>
    </row>
    <row r="48" ht="15.75" customHeight="1">
      <c r="A48" s="17"/>
      <c r="B48" s="79" t="s">
        <v>207</v>
      </c>
      <c r="C48" s="79" t="s">
        <v>208</v>
      </c>
      <c r="E48" s="11" t="str">
        <f>IFERROR(__xludf.DUMMYFUNCTION("SPARKLINE(GOOGLEFINANCE(B48, ""price"", TODAY()-365, TODAY(), ""DAILY""))"),"")</f>
        <v/>
      </c>
      <c r="F48" s="11">
        <f>IFERROR(__xludf.DUMMYFUNCTION("IFERROR(GOOGLEFINANCE(B48), 0)"),88.07)</f>
        <v>88.07</v>
      </c>
      <c r="G48" s="87">
        <v>295.0</v>
      </c>
      <c r="H48" s="11">
        <f t="shared" si="21"/>
        <v>25980.65</v>
      </c>
      <c r="I48" s="19">
        <f t="shared" si="22"/>
        <v>0.009746322057</v>
      </c>
      <c r="J48" s="106">
        <v>0.01</v>
      </c>
      <c r="L48" s="107">
        <v>89.47</v>
      </c>
      <c r="M48" s="96">
        <v>46070.0</v>
      </c>
      <c r="N48" s="22">
        <f t="shared" si="23"/>
        <v>-0.01564770314</v>
      </c>
      <c r="O48" s="19">
        <f>IFERROR(__xludf.DUMMYFUNCTION("N48 - ((GOOGLEFINANCE(""XLI"")/INDEX(GOOGLEFINANCE(""XLI"",""price"",M48),2,2))-1)"),-0.015876170127238076)</f>
        <v>-0.01587617013</v>
      </c>
      <c r="P48" s="19">
        <f>IFERROR(__xludf.DUMMYFUNCTION("N48 - ((GOOGLEFINANCE(""SPY"")/INDEX(GOOGLEFINANCE(""SPY"",""price"",M48),2,2))-1)"),-0.015149789982630169)</f>
        <v>-0.01514978998</v>
      </c>
      <c r="Q48" s="78">
        <f>IFERROR(__xludf.DUMMYFUNCTION("IFERROR(GOOGLEFINANCE(B48, ""beta""), ""N/A"")"),1.29)</f>
        <v>1.29</v>
      </c>
      <c r="S48" s="79" t="s">
        <v>31</v>
      </c>
      <c r="T48" s="80">
        <v>46070.0</v>
      </c>
      <c r="U48" s="107">
        <v>108.55</v>
      </c>
      <c r="V48" s="19">
        <f t="shared" si="24"/>
        <v>-0.1886688162</v>
      </c>
    </row>
    <row r="49" ht="15.75" customHeight="1">
      <c r="A49" s="17"/>
      <c r="B49" s="18" t="s">
        <v>82</v>
      </c>
      <c r="C49" s="18" t="s">
        <v>209</v>
      </c>
      <c r="E49" s="11" t="str">
        <f>IFERROR(__xludf.DUMMYFUNCTION("SPARKLINE(GOOGLEFINANCE(B49, ""price"", TODAY()-365, TODAY(), ""DAILY""))"),"")</f>
        <v/>
      </c>
      <c r="F49" s="11">
        <f>IFERROR(__xludf.DUMMYFUNCTION("IFERROR(GOOGLEFINANCE(B49), 0)"),175.12)</f>
        <v>175.12</v>
      </c>
      <c r="G49" s="21">
        <v>0.0</v>
      </c>
      <c r="H49" s="11">
        <f t="shared" si="21"/>
        <v>0</v>
      </c>
      <c r="I49" s="19">
        <f t="shared" si="22"/>
        <v>0</v>
      </c>
      <c r="J49" s="22">
        <f>I49</f>
        <v>0</v>
      </c>
      <c r="L49" s="24">
        <v>105.76</v>
      </c>
      <c r="M49" s="50"/>
      <c r="N49" s="22">
        <f t="shared" si="23"/>
        <v>0.6558245083</v>
      </c>
      <c r="Q49" s="78" t="str">
        <f>IFERROR(__xludf.DUMMYFUNCTION("IFERROR(GOOGLEFINANCE(B49, ""beta""), ""N/A"")"),"N/A")</f>
        <v>N/A</v>
      </c>
      <c r="S49" s="18" t="s">
        <v>36</v>
      </c>
      <c r="T49" s="18" t="s">
        <v>36</v>
      </c>
      <c r="U49" s="24" t="s">
        <v>36</v>
      </c>
      <c r="V49" s="19" t="str">
        <f t="shared" si="24"/>
        <v>NA</v>
      </c>
    </row>
    <row r="50" ht="15.75" customHeight="1">
      <c r="A50" s="6" t="s">
        <v>32</v>
      </c>
      <c r="B50" s="40"/>
      <c r="C50" s="40"/>
      <c r="D50" s="40"/>
      <c r="E50" s="42"/>
      <c r="F50" s="42"/>
      <c r="G50" s="43"/>
      <c r="H50" s="42">
        <f>SUM(H45:H49)</f>
        <v>211350.4</v>
      </c>
      <c r="I50" s="41">
        <f t="shared" si="22"/>
        <v>0.07928550923</v>
      </c>
      <c r="J50" s="41">
        <v>0.075</v>
      </c>
      <c r="K50" s="40"/>
      <c r="L50" s="42">
        <f>SUMPRODUCT(L45:L49*G45:G49)</f>
        <v>140047.8339</v>
      </c>
      <c r="M50" s="44">
        <f>AVERAGE(M45:M49)</f>
        <v>45504.75</v>
      </c>
      <c r="N50" s="45">
        <f>H50/L50-1</f>
        <v>0.5091300885</v>
      </c>
      <c r="O50" s="82"/>
      <c r="P50" s="82"/>
      <c r="Q50" s="83">
        <f>SUMPRODUCT(I45:I49/SUMIF(Q45:Q49, "&lt;&gt;N/A", I45:I49),Q45:Q49)</f>
        <v>1.283919264</v>
      </c>
      <c r="R50" s="40"/>
      <c r="S50" s="40"/>
      <c r="T50" s="44"/>
      <c r="U50" s="42"/>
      <c r="V50" s="41"/>
    </row>
    <row r="51" ht="15.75" customHeight="1">
      <c r="A51" s="104"/>
      <c r="E51" s="11"/>
      <c r="F51" s="11"/>
      <c r="G51" s="49"/>
      <c r="H51" s="11"/>
      <c r="I51" s="19"/>
      <c r="J51" s="108"/>
      <c r="L51" s="11"/>
      <c r="M51" s="50"/>
      <c r="N51" s="22"/>
      <c r="Q51" s="78"/>
      <c r="T51" s="50"/>
      <c r="U51" s="11"/>
      <c r="V51" s="19"/>
    </row>
    <row r="52" ht="15.75" customHeight="1">
      <c r="A52" s="6" t="s">
        <v>85</v>
      </c>
      <c r="B52" s="7"/>
      <c r="C52" s="7"/>
      <c r="D52" s="7"/>
      <c r="E52" s="9"/>
      <c r="F52" s="9"/>
      <c r="G52" s="10"/>
      <c r="H52" s="11"/>
      <c r="I52" s="8"/>
      <c r="K52" s="7"/>
      <c r="L52" s="9"/>
      <c r="M52" s="12"/>
      <c r="N52" s="13"/>
      <c r="Q52" s="78"/>
      <c r="R52" s="7"/>
      <c r="S52" s="7"/>
      <c r="T52" s="12"/>
      <c r="U52" s="9"/>
      <c r="V52" s="8"/>
    </row>
    <row r="53" ht="15.75" customHeight="1">
      <c r="A53" s="17"/>
      <c r="B53" s="18" t="s">
        <v>118</v>
      </c>
      <c r="C53" s="18" t="s">
        <v>210</v>
      </c>
      <c r="E53" s="11" t="str">
        <f>IFERROR(__xludf.DUMMYFUNCTION("SPARKLINE(GOOGLEFINANCE(B53, ""price"", TODAY()-365, TODAY(), ""DAILY""))"),"")</f>
        <v/>
      </c>
      <c r="F53" s="11">
        <f>IFERROR(__xludf.DUMMYFUNCTION("IFERROR(GOOGLEFINANCE(B53), 0)"),141.1)</f>
        <v>141.1</v>
      </c>
      <c r="G53" s="87">
        <v>213.0</v>
      </c>
      <c r="H53" s="11">
        <f t="shared" ref="H53:H55" si="25">F53*G53</f>
        <v>30054.3</v>
      </c>
      <c r="I53" s="19">
        <f t="shared" ref="I53:I56" si="26">H53/$H$121</f>
        <v>0.01127450187</v>
      </c>
      <c r="J53" s="22">
        <v>0.015</v>
      </c>
      <c r="L53" s="24">
        <v>74.89</v>
      </c>
      <c r="M53" s="25">
        <v>43903.0</v>
      </c>
      <c r="N53" s="22">
        <f t="shared" ref="N53:N55" si="27">(F53/L53-1)</f>
        <v>0.8840966751</v>
      </c>
      <c r="O53" s="19">
        <f>IFERROR(__xludf.DUMMYFUNCTION("N53 - ((GOOGLEFINANCE(""XLRE"")/INDEX(GOOGLEFINANCE(""XLRe"",""price"",M53),2,2))-1)"),0.6470533446222402)</f>
        <v>0.6470533446</v>
      </c>
      <c r="P53" s="19">
        <f>IFERROR(__xludf.DUMMYFUNCTION("N53 - ((GOOGLEFINANCE(""SPY"")/INDEX(GOOGLEFINANCE(""SPY"",""price"",M53),2,2))-1)"),-0.6501005623634901)</f>
        <v>-0.6501005624</v>
      </c>
      <c r="Q53" s="78">
        <f>IFERROR(__xludf.DUMMYFUNCTION("IFERROR(GOOGLEFINANCE(B53, ""beta""), ""N/A"")"),1.41)</f>
        <v>1.41</v>
      </c>
      <c r="S53" s="18" t="s">
        <v>19</v>
      </c>
      <c r="T53" s="25">
        <v>45566.0</v>
      </c>
      <c r="U53" s="24">
        <v>132.99</v>
      </c>
      <c r="V53" s="19">
        <f t="shared" ref="V53:V54" si="28">IFERROR(F53/U53-1, "NA")</f>
        <v>0.06098202872</v>
      </c>
    </row>
    <row r="54" ht="15.75" customHeight="1">
      <c r="A54" s="17"/>
      <c r="B54" s="18" t="s">
        <v>120</v>
      </c>
      <c r="C54" s="18" t="s">
        <v>211</v>
      </c>
      <c r="E54" s="11" t="str">
        <f>IFERROR(__xludf.DUMMYFUNCTION("SPARKLINE(GOOGLEFINANCE(B54, ""price"", TODAY()-365, TODAY(), ""DAILY""))"),"")</f>
        <v/>
      </c>
      <c r="F54" s="11">
        <f>IFERROR(__xludf.DUMMYFUNCTION("IFERROR(GOOGLEFINANCE(B54), 0)"),79.23)</f>
        <v>79.23</v>
      </c>
      <c r="G54" s="87">
        <v>161.0</v>
      </c>
      <c r="H54" s="11">
        <f t="shared" si="25"/>
        <v>12756.03</v>
      </c>
      <c r="I54" s="19">
        <f t="shared" si="26"/>
        <v>0.004785268134</v>
      </c>
      <c r="J54" s="22">
        <v>0.0061</v>
      </c>
      <c r="L54" s="24">
        <v>62.8</v>
      </c>
      <c r="M54" s="25">
        <v>44631.0</v>
      </c>
      <c r="N54" s="22">
        <f t="shared" si="27"/>
        <v>0.2616242038</v>
      </c>
      <c r="O54" s="19">
        <f>IFERROR(__xludf.DUMMYFUNCTION("N54 - ((GOOGLEFINANCE(""XLRE"")/INDEX(GOOGLEFINANCE(""XLRe"",""price"",M54),2,2))-1)"),0.30936782710484767)</f>
        <v>0.3093678271</v>
      </c>
      <c r="P54" s="19">
        <f>IFERROR(__xludf.DUMMYFUNCTION("N54 - ((GOOGLEFINANCE(""SPY"")/INDEX(GOOGLEFINANCE(""SPY"",""price"",M54),2,2))-1)"),-0.3631288135325945)</f>
        <v>-0.3631288135</v>
      </c>
      <c r="Q54" s="78">
        <f>IFERROR(__xludf.DUMMYFUNCTION("IFERROR(GOOGLEFINANCE(B54, ""beta""), ""N/A"")"),0.54)</f>
        <v>0.54</v>
      </c>
      <c r="S54" s="18" t="s">
        <v>19</v>
      </c>
      <c r="T54" s="25">
        <v>45729.0</v>
      </c>
      <c r="U54" s="24">
        <v>87.36</v>
      </c>
      <c r="V54" s="19">
        <f t="shared" si="28"/>
        <v>-0.09306318681</v>
      </c>
    </row>
    <row r="55" ht="15.75" customHeight="1">
      <c r="A55" s="17"/>
      <c r="B55" s="18" t="s">
        <v>84</v>
      </c>
      <c r="C55" s="18" t="s">
        <v>212</v>
      </c>
      <c r="E55" s="11" t="str">
        <f>IFERROR(__xludf.DUMMYFUNCTION("SPARKLINE(GOOGLEFINANCE(B55, ""price"", TODAY()-365, TODAY(), ""DAILY""))"),"")</f>
        <v/>
      </c>
      <c r="F55" s="11">
        <f>IFERROR(__xludf.DUMMYFUNCTION("IFERROR(GOOGLEFINANCE(B55), 0)"),43.68)</f>
        <v>43.68</v>
      </c>
      <c r="G55" s="21"/>
      <c r="H55" s="11">
        <f t="shared" si="25"/>
        <v>0</v>
      </c>
      <c r="I55" s="19">
        <f t="shared" si="26"/>
        <v>0</v>
      </c>
      <c r="J55" s="22">
        <f>I55</f>
        <v>0</v>
      </c>
      <c r="L55" s="24">
        <v>33.97</v>
      </c>
      <c r="M55" s="25">
        <v>45198.0</v>
      </c>
      <c r="N55" s="22">
        <f t="shared" si="27"/>
        <v>0.2858404475</v>
      </c>
      <c r="Q55" s="78" t="str">
        <f>IFERROR(__xludf.DUMMYFUNCTION("IFERROR(GOOGLEFINANCE(B55, ""beta""), ""N/A"")"),"N/A")</f>
        <v>N/A</v>
      </c>
      <c r="S55" s="18" t="s">
        <v>36</v>
      </c>
      <c r="T55" s="18" t="s">
        <v>36</v>
      </c>
      <c r="U55" s="24" t="s">
        <v>36</v>
      </c>
      <c r="V55" s="23" t="s">
        <v>36</v>
      </c>
    </row>
    <row r="56" ht="15.75" customHeight="1">
      <c r="A56" s="6" t="s">
        <v>32</v>
      </c>
      <c r="B56" s="40"/>
      <c r="C56" s="40"/>
      <c r="D56" s="40"/>
      <c r="E56" s="42"/>
      <c r="F56" s="42"/>
      <c r="G56" s="43"/>
      <c r="H56" s="42">
        <f>SUM(H53:H55)</f>
        <v>42810.33</v>
      </c>
      <c r="I56" s="41">
        <f t="shared" si="26"/>
        <v>0.01605977</v>
      </c>
      <c r="J56" s="81">
        <v>0.015</v>
      </c>
      <c r="K56" s="40"/>
      <c r="L56" s="42">
        <f>SUMPRODUCT(L53:L55,G53:G55)</f>
        <v>26062.37</v>
      </c>
      <c r="M56" s="44">
        <f>AVERAGE(M53:M54)</f>
        <v>44267</v>
      </c>
      <c r="N56" s="45">
        <f>H56/L56-1</f>
        <v>0.6426107833</v>
      </c>
      <c r="O56" s="82"/>
      <c r="P56" s="82"/>
      <c r="Q56" s="83">
        <f>SUMPRODUCT(I53:I54/SUMIF(Q53:Q54, "&lt;&gt;N/A", I53:I54),Q53:Q54)</f>
        <v>1.150769433</v>
      </c>
      <c r="R56" s="40"/>
      <c r="S56" s="40"/>
      <c r="T56" s="44"/>
      <c r="U56" s="42"/>
      <c r="V56" s="41"/>
    </row>
    <row r="57" ht="15.75" customHeight="1">
      <c r="A57" s="104"/>
      <c r="E57" s="11"/>
      <c r="F57" s="11"/>
      <c r="G57" s="49"/>
      <c r="H57" s="11"/>
      <c r="I57" s="19"/>
      <c r="J57" s="19"/>
      <c r="L57" s="11"/>
      <c r="M57" s="50"/>
      <c r="N57" s="22"/>
      <c r="Q57" s="78"/>
      <c r="T57" s="50"/>
      <c r="U57" s="11"/>
      <c r="V57" s="19"/>
    </row>
    <row r="58" ht="15.75" customHeight="1">
      <c r="A58" s="6" t="s">
        <v>87</v>
      </c>
      <c r="B58" s="7"/>
      <c r="C58" s="7"/>
      <c r="D58" s="7"/>
      <c r="E58" s="9"/>
      <c r="F58" s="9"/>
      <c r="G58" s="10"/>
      <c r="H58" s="11"/>
      <c r="I58" s="8"/>
      <c r="J58" s="8"/>
      <c r="K58" s="7"/>
      <c r="L58" s="9"/>
      <c r="M58" s="12"/>
      <c r="N58" s="13"/>
      <c r="Q58" s="78"/>
      <c r="R58" s="7"/>
      <c r="S58" s="7"/>
      <c r="T58" s="12"/>
      <c r="U58" s="9"/>
      <c r="V58" s="8"/>
    </row>
    <row r="59" ht="15.75" customHeight="1">
      <c r="A59" s="33"/>
      <c r="B59" s="23" t="s">
        <v>130</v>
      </c>
      <c r="C59" s="23" t="s">
        <v>213</v>
      </c>
      <c r="D59" s="23"/>
      <c r="E59" s="11" t="str">
        <f>IFERROR(__xludf.DUMMYFUNCTION("SPARKLINE(GOOGLEFINANCE(B59, ""price"", TODAY()-365, TODAY(), ""DAILY""))"),"")</f>
        <v/>
      </c>
      <c r="F59" s="11">
        <f>IFERROR(__xludf.DUMMYFUNCTION("IFERROR(GOOGLEFINANCE(B59), 0)"),314.7)</f>
        <v>314.7</v>
      </c>
      <c r="G59" s="92">
        <v>380.0</v>
      </c>
      <c r="H59" s="29">
        <f t="shared" ref="H59:H65" si="29">F59*G59</f>
        <v>119586</v>
      </c>
      <c r="I59" s="30">
        <f t="shared" ref="I59:I66" si="30">H59/$H$121</f>
        <v>0.04486122055</v>
      </c>
      <c r="J59" s="101">
        <v>0.0391</v>
      </c>
      <c r="K59" s="23"/>
      <c r="L59" s="29">
        <v>58.93718381112985</v>
      </c>
      <c r="M59" s="28">
        <v>40284.0</v>
      </c>
      <c r="N59" s="100">
        <f t="shared" ref="N59:N65" si="31">(F59/L59-1)</f>
        <v>4.339583259</v>
      </c>
      <c r="O59" s="19">
        <f>IFERROR(__xludf.DUMMYFUNCTION("N59 - ((GOOGLEFINANCE(""SPY"")/INDEX(GOOGLEFINANCE(""SPY"",""price"",M59),2,2))-1)"),-0.37849649989154344)</f>
        <v>-0.3784964999</v>
      </c>
      <c r="P59" s="19">
        <f>IFERROR(__xludf.DUMMYFUNCTION("N59 - ((GOOGLEFINANCE(""SPY"")/INDEX(GOOGLEFINANCE(""SPY"",""price"",M59),2,2))-1)"),-0.37849649989154344)</f>
        <v>-0.3784964999</v>
      </c>
      <c r="Q59" s="78">
        <f>IFERROR(__xludf.DUMMYFUNCTION("IFERROR(GOOGLEFINANCE(B59, ""beta""), ""N/A"")"),1.09)</f>
        <v>1.09</v>
      </c>
      <c r="R59" s="23"/>
      <c r="S59" s="23" t="s">
        <v>19</v>
      </c>
      <c r="T59" s="25">
        <v>44117.0</v>
      </c>
      <c r="U59" s="29">
        <v>88.65</v>
      </c>
      <c r="V59" s="19">
        <f t="shared" ref="V59:V65" si="32">IFERROR(F59/U59-1, "NA")</f>
        <v>2.549915398</v>
      </c>
    </row>
    <row r="60" ht="15.75" customHeight="1">
      <c r="A60" s="33"/>
      <c r="B60" s="23" t="s">
        <v>123</v>
      </c>
      <c r="C60" s="91" t="s">
        <v>214</v>
      </c>
      <c r="D60" s="23"/>
      <c r="E60" s="29" t="str">
        <f>IFERROR(__xludf.DUMMYFUNCTION("SPARKLINE(GOOGLEFINANCE(B60, ""price"", TODAY()-365, TODAY(), ""DAILY""))"),"")</f>
        <v/>
      </c>
      <c r="F60" s="11">
        <f>IFERROR(__xludf.DUMMYFUNCTION("IFERROR(GOOGLEFINANCE(B60), 0)"),386.77)</f>
        <v>386.77</v>
      </c>
      <c r="G60" s="92">
        <v>241.0</v>
      </c>
      <c r="H60" s="29">
        <f t="shared" si="29"/>
        <v>93211.57</v>
      </c>
      <c r="I60" s="30">
        <f t="shared" si="30"/>
        <v>0.03496717675</v>
      </c>
      <c r="J60" s="101">
        <v>0.0362</v>
      </c>
      <c r="K60" s="23"/>
      <c r="L60" s="29">
        <v>194.85232653061226</v>
      </c>
      <c r="M60" s="28">
        <v>43750.916299559474</v>
      </c>
      <c r="N60" s="100">
        <f t="shared" si="31"/>
        <v>0.9849390915</v>
      </c>
      <c r="O60" s="19">
        <f>IFERROR(__xludf.DUMMYFUNCTION("N60 - ((GOOGLEFINANCE(""XLK"")/INDEX(GOOGLEFINANCE(""XLK"",""price"",M60),2,2))-1)"),-1.431400457078755)</f>
        <v>-1.431400457</v>
      </c>
      <c r="P60" s="19">
        <f>IFERROR(__xludf.DUMMYFUNCTION("N60 - ((GOOGLEFINANCE(""SPY"")/INDEX(GOOGLEFINANCE(""SPY"",""price"",M60),2,2))-1)"),-0.3212274906946566)</f>
        <v>-0.3212274907</v>
      </c>
      <c r="Q60" s="78">
        <f>IFERROR(__xludf.DUMMYFUNCTION("IFERROR(GOOGLEFINANCE(B60, ""beta""), ""N/A"")"),1.08)</f>
        <v>1.08</v>
      </c>
      <c r="R60" s="23"/>
      <c r="S60" s="23" t="s">
        <v>19</v>
      </c>
      <c r="T60" s="28">
        <v>44236.0</v>
      </c>
      <c r="U60" s="29" t="s">
        <v>36</v>
      </c>
      <c r="V60" s="19" t="str">
        <f t="shared" si="32"/>
        <v>NA</v>
      </c>
    </row>
    <row r="61" ht="15.75" customHeight="1">
      <c r="A61" s="17"/>
      <c r="B61" s="23" t="s">
        <v>124</v>
      </c>
      <c r="C61" s="23" t="s">
        <v>215</v>
      </c>
      <c r="E61" s="29" t="str">
        <f>IFERROR(__xludf.DUMMYFUNCTION("SPARKLINE(GOOGLEFINANCE(B61, ""price"", TODAY()-365, TODAY(), ""DAILY""))"),"")</f>
        <v/>
      </c>
      <c r="F61" s="11">
        <f>IFERROR(__xludf.DUMMYFUNCTION("IFERROR(GOOGLEFINANCE(B61), 0)"),373.74)</f>
        <v>373.74</v>
      </c>
      <c r="G61" s="49">
        <v>297.0</v>
      </c>
      <c r="H61" s="11">
        <f t="shared" si="29"/>
        <v>111000.78</v>
      </c>
      <c r="I61" s="19">
        <f t="shared" si="30"/>
        <v>0.04164058061</v>
      </c>
      <c r="J61" s="22">
        <v>0.018</v>
      </c>
      <c r="L61" s="11">
        <v>154.05024242424244</v>
      </c>
      <c r="M61" s="50">
        <v>44740.957703927495</v>
      </c>
      <c r="N61" s="22">
        <f t="shared" si="31"/>
        <v>1.426091606</v>
      </c>
      <c r="O61" s="19">
        <f>IFERROR(__xludf.DUMMYFUNCTION("N61 - ((GOOGLEFINANCE(""XLK"")/INDEX(GOOGLEFINANCE(""XLK"",""price"",M61),2,2))-1)"),0.260124892360011)</f>
        <v>0.2601248924</v>
      </c>
      <c r="P61" s="19">
        <f>IFERROR(__xludf.DUMMYFUNCTION("N61 - ((GOOGLEFINANCE(""SPY"")/INDEX(GOOGLEFINANCE(""SPY"",""price"",M61),2,2))-1)"),0.6330796524523503)</f>
        <v>0.6330796525</v>
      </c>
      <c r="Q61" s="78">
        <f>IFERROR(__xludf.DUMMYFUNCTION("IFERROR(GOOGLEFINANCE(B61, ""beta""), ""N/A"")"),1.7)</f>
        <v>1.7</v>
      </c>
      <c r="S61" s="23" t="s">
        <v>19</v>
      </c>
      <c r="T61" s="50">
        <v>45720.0</v>
      </c>
      <c r="U61" s="11">
        <v>179.24</v>
      </c>
      <c r="V61" s="19">
        <f t="shared" si="32"/>
        <v>1.085137246</v>
      </c>
    </row>
    <row r="62" ht="15.75" customHeight="1">
      <c r="A62" s="17"/>
      <c r="B62" s="23" t="s">
        <v>126</v>
      </c>
      <c r="C62" s="23" t="s">
        <v>216</v>
      </c>
      <c r="E62" s="29" t="str">
        <f>IFERROR(__xludf.DUMMYFUNCTION("SPARKLINE(GOOGLEFINANCE(B62, ""price"", TODAY()-365, TODAY(), ""DAILY""))"),"")</f>
        <v/>
      </c>
      <c r="F62" s="11">
        <f>IFERROR(__xludf.DUMMYFUNCTION("IFERROR(GOOGLEFINANCE(B62), 0)"),419.98)</f>
        <v>419.98</v>
      </c>
      <c r="G62" s="77">
        <v>184.0</v>
      </c>
      <c r="H62" s="11">
        <f t="shared" si="29"/>
        <v>77276.32</v>
      </c>
      <c r="I62" s="19">
        <f t="shared" si="30"/>
        <v>0.02898926325</v>
      </c>
      <c r="J62" s="22">
        <v>0.0197</v>
      </c>
      <c r="L62" s="11">
        <v>403.06319672131144</v>
      </c>
      <c r="M62" s="50">
        <v>44970.65546218488</v>
      </c>
      <c r="N62" s="22">
        <f t="shared" si="31"/>
        <v>0.0419705977</v>
      </c>
      <c r="O62" s="19">
        <f>IFERROR(__xludf.DUMMYFUNCTION("N62 - ((GOOGLEFINANCE(""XLK"")/INDEX(GOOGLEFINANCE(""XLK"",""price"",M62),2,2))-1)"),-0.9080364041169442)</f>
        <v>-0.9080364041</v>
      </c>
      <c r="P62" s="19">
        <f>IFERROR(__xludf.DUMMYFUNCTION("N62 - ((GOOGLEFINANCE(""SPY"")/INDEX(GOOGLEFINANCE(""SPY"",""price"",M62),2,2))-1)"),-0.6112765015867356)</f>
        <v>-0.6112765016</v>
      </c>
      <c r="Q62" s="78">
        <f>IFERROR(__xludf.DUMMYFUNCTION("IFERROR(GOOGLEFINANCE(B62, ""beta""), ""N/A"")"),1.12)</f>
        <v>1.12</v>
      </c>
      <c r="S62" s="23" t="s">
        <v>19</v>
      </c>
      <c r="T62" s="51">
        <v>45575.0</v>
      </c>
      <c r="U62" s="11">
        <v>571.27</v>
      </c>
      <c r="V62" s="19">
        <f t="shared" si="32"/>
        <v>-0.2648309906</v>
      </c>
    </row>
    <row r="63" ht="15.75" customHeight="1">
      <c r="A63" s="17"/>
      <c r="B63" s="23" t="s">
        <v>128</v>
      </c>
      <c r="C63" s="23" t="s">
        <v>217</v>
      </c>
      <c r="E63" s="29" t="str">
        <f>IFERROR(__xludf.DUMMYFUNCTION("SPARKLINE(GOOGLEFINANCE(B63, ""price"", TODAY()-365, TODAY(), ""DAILY""))"),"")</f>
        <v/>
      </c>
      <c r="F63" s="11">
        <f>IFERROR(__xludf.DUMMYFUNCTION("IFERROR(GOOGLEFINANCE(B63), 0)"),1774.93)</f>
        <v>1774.93</v>
      </c>
      <c r="G63" s="49">
        <v>26.0</v>
      </c>
      <c r="H63" s="11">
        <f t="shared" si="29"/>
        <v>46148.18</v>
      </c>
      <c r="I63" s="19">
        <f t="shared" si="30"/>
        <v>0.01731192348</v>
      </c>
      <c r="J63" s="22">
        <v>0.0332</v>
      </c>
      <c r="L63" s="11">
        <v>2004.06</v>
      </c>
      <c r="M63" s="50">
        <v>45072.0</v>
      </c>
      <c r="N63" s="22">
        <f t="shared" si="31"/>
        <v>-0.1143329042</v>
      </c>
      <c r="O63" s="19">
        <f>IFERROR(__xludf.DUMMYFUNCTION("N63 - ((GOOGLEFINANCE(""XLK"")/INDEX(GOOGLEFINANCE(""XLK"",""price"",M63),2,2))-1)"),-0.8044652018133979)</f>
        <v>-0.8044652018</v>
      </c>
      <c r="P63" s="19">
        <f>IFERROR(__xludf.DUMMYFUNCTION("N63 - ((GOOGLEFINANCE(""SPY"")/INDEX(GOOGLEFINANCE(""SPY"",""price"",M63),2,2))-1)"),-0.7392793353267925)</f>
        <v>-0.7392793353</v>
      </c>
      <c r="Q63" s="78">
        <f>IFERROR(__xludf.DUMMYFUNCTION("IFERROR(GOOGLEFINANCE(B63, ""beta""), ""N/A"")"),1.04)</f>
        <v>1.04</v>
      </c>
      <c r="S63" s="23" t="s">
        <v>21</v>
      </c>
      <c r="T63" s="109">
        <v>44985.0</v>
      </c>
      <c r="U63" s="11">
        <v>2106.0</v>
      </c>
      <c r="V63" s="19">
        <f t="shared" si="32"/>
        <v>-0.1572032289</v>
      </c>
    </row>
    <row r="64" ht="15.75" customHeight="1">
      <c r="A64" s="17"/>
      <c r="B64" s="91" t="s">
        <v>218</v>
      </c>
      <c r="C64" s="91" t="s">
        <v>219</v>
      </c>
      <c r="E64" s="29" t="str">
        <f>IFERROR(__xludf.DUMMYFUNCTION("SPARKLINE(GOOGLEFINANCE(B64, ""price"", TODAY()-365, TODAY(), ""DAILY""))"),"")</f>
        <v/>
      </c>
      <c r="F64" s="11">
        <f>IFERROR(__xludf.DUMMYFUNCTION("IFERROR(GOOGLEFINANCE(B64), 0)"),368.54)</f>
        <v>368.54</v>
      </c>
      <c r="G64" s="77">
        <v>303.0</v>
      </c>
      <c r="H64" s="11">
        <f t="shared" si="29"/>
        <v>111667.62</v>
      </c>
      <c r="I64" s="19">
        <f t="shared" si="30"/>
        <v>0.04189073745</v>
      </c>
      <c r="J64" s="106">
        <v>0.022</v>
      </c>
      <c r="L64" s="85">
        <v>275.55</v>
      </c>
      <c r="M64" s="96">
        <v>45929.0</v>
      </c>
      <c r="N64" s="22">
        <f t="shared" si="31"/>
        <v>0.3374705135</v>
      </c>
      <c r="O64" s="19">
        <f>IFERROR(__xludf.DUMMYFUNCTION("N64 - ((GOOGLEFINANCE(""XLK"")/INDEX(GOOGLEFINANCE(""XLK"",""price"",M64),2,2))-1)"),0.34403397217576226)</f>
        <v>0.3440339722</v>
      </c>
      <c r="P64" s="19">
        <f>IFERROR(__xludf.DUMMYFUNCTION("N64 - ((GOOGLEFINANCE(""SPY"")/INDEX(GOOGLEFINANCE(""SPY"",""price"",M64),2,2))-1)"),0.3090984064788804)</f>
        <v>0.3090984065</v>
      </c>
      <c r="Q64" s="78">
        <f>IFERROR(__xludf.DUMMYFUNCTION("IFERROR(GOOGLEFINANCE(B64, ""beta""), ""N/A"")"),1.29)</f>
        <v>1.29</v>
      </c>
      <c r="S64" s="91" t="s">
        <v>220</v>
      </c>
      <c r="T64" s="96">
        <v>45923.0</v>
      </c>
      <c r="U64" s="85">
        <v>297.17</v>
      </c>
      <c r="V64" s="19">
        <f t="shared" si="32"/>
        <v>0.2401655618</v>
      </c>
    </row>
    <row r="65" ht="15.75" customHeight="1">
      <c r="A65" s="17"/>
      <c r="B65" s="23" t="s">
        <v>86</v>
      </c>
      <c r="C65" s="23" t="s">
        <v>221</v>
      </c>
      <c r="E65" s="29" t="str">
        <f>IFERROR(__xludf.DUMMYFUNCTION("SPARKLINE(GOOGLEFINANCE(B65, ""price"", TODAY()-365, TODAY(), ""DAILY""))"),"")</f>
        <v/>
      </c>
      <c r="F65" s="11">
        <f>IFERROR(__xludf.DUMMYFUNCTION("IFERROR(GOOGLEFINANCE(B65), 0)"),139.25)</f>
        <v>139.25</v>
      </c>
      <c r="G65" s="49">
        <v>0.0</v>
      </c>
      <c r="H65" s="11">
        <f t="shared" si="29"/>
        <v>0</v>
      </c>
      <c r="I65" s="19">
        <f t="shared" si="30"/>
        <v>0</v>
      </c>
      <c r="J65" s="22">
        <f>I65</f>
        <v>0</v>
      </c>
      <c r="L65" s="11">
        <v>208.79</v>
      </c>
      <c r="M65" s="50">
        <v>45554.0</v>
      </c>
      <c r="N65" s="22">
        <f t="shared" si="31"/>
        <v>-0.3330619283</v>
      </c>
      <c r="Q65" s="78" t="str">
        <f>IFERROR(__xludf.DUMMYFUNCTION("IFERROR(GOOGLEFINANCE(B65, ""beta""), ""N/A"")"),"N/A")</f>
        <v>N/A</v>
      </c>
      <c r="S65" s="23" t="s">
        <v>36</v>
      </c>
      <c r="T65" s="23" t="s">
        <v>36</v>
      </c>
      <c r="U65" s="11" t="s">
        <v>36</v>
      </c>
      <c r="V65" s="19" t="str">
        <f t="shared" si="32"/>
        <v>NA</v>
      </c>
    </row>
    <row r="66" ht="15.75" customHeight="1">
      <c r="A66" s="6" t="s">
        <v>32</v>
      </c>
      <c r="B66" s="40"/>
      <c r="C66" s="40"/>
      <c r="D66" s="40"/>
      <c r="E66" s="42"/>
      <c r="F66" s="42"/>
      <c r="G66" s="110"/>
      <c r="H66" s="42">
        <f>SUM(H59:H65)</f>
        <v>558890.47</v>
      </c>
      <c r="I66" s="41">
        <f t="shared" si="30"/>
        <v>0.2096609021</v>
      </c>
      <c r="J66" s="81">
        <v>0.215</v>
      </c>
      <c r="K66" s="40"/>
      <c r="L66" s="42">
        <f>SUMPRODUCT(L59:L65,G59:G65)</f>
        <v>324869.3007</v>
      </c>
      <c r="M66" s="44">
        <f>AVERAGE(M59:M65)</f>
        <v>44328.78992</v>
      </c>
      <c r="N66" s="45">
        <f>H66/L66-1</f>
        <v>0.720354828</v>
      </c>
      <c r="O66" s="82"/>
      <c r="P66" s="82"/>
      <c r="Q66" s="83">
        <f>SUMPRODUCT(I59:I63/SUMIF(Q59:Q63, "&lt;&gt;N/A", I59:I63),Q59:Q63)</f>
        <v>1.239342192</v>
      </c>
      <c r="R66" s="40"/>
      <c r="S66" s="40"/>
      <c r="T66" s="44"/>
      <c r="U66" s="42"/>
      <c r="V66" s="41"/>
    </row>
    <row r="67" ht="15.75" customHeight="1">
      <c r="A67" s="104"/>
      <c r="E67" s="11"/>
      <c r="F67" s="11"/>
      <c r="G67" s="49"/>
      <c r="H67" s="11"/>
      <c r="I67" s="19"/>
      <c r="J67" s="19"/>
      <c r="L67" s="11"/>
      <c r="M67" s="50"/>
      <c r="N67" s="22"/>
      <c r="Q67" s="78"/>
      <c r="T67" s="50"/>
      <c r="U67" s="11"/>
      <c r="V67" s="19"/>
    </row>
    <row r="68" ht="15.75" customHeight="1">
      <c r="A68" s="111" t="s">
        <v>89</v>
      </c>
      <c r="E68" s="11"/>
      <c r="F68" s="11"/>
      <c r="G68" s="49"/>
      <c r="H68" s="11"/>
      <c r="I68" s="19"/>
      <c r="J68" s="19"/>
      <c r="L68" s="11"/>
      <c r="M68" s="50"/>
      <c r="N68" s="22"/>
      <c r="Q68" s="78"/>
      <c r="T68" s="50"/>
      <c r="U68" s="11"/>
      <c r="V68" s="19"/>
    </row>
    <row r="69" ht="15.75" customHeight="1">
      <c r="A69" s="17"/>
      <c r="B69" s="23" t="s">
        <v>132</v>
      </c>
      <c r="C69" s="23" t="s">
        <v>222</v>
      </c>
      <c r="E69" s="11" t="str">
        <f>IFERROR(__xludf.DUMMYFUNCTION("SPARKLINE(GOOGLEFINANCE(B69, ""price"", TODAY()-365, TODAY(), ""DAILY""))"),"")</f>
        <v/>
      </c>
      <c r="F69" s="11">
        <f>IFERROR(__xludf.DUMMYFUNCTION("IFERROR(GOOGLEFINANCE(B69), 0)"),645.4)</f>
        <v>645.4</v>
      </c>
      <c r="G69" s="77">
        <v>153.0</v>
      </c>
      <c r="H69" s="11">
        <f t="shared" ref="H69:H71" si="33">F69*G69</f>
        <v>98746.2</v>
      </c>
      <c r="I69" s="19">
        <f t="shared" ref="I69:I72" si="34">H69/$H$121</f>
        <v>0.03704342529</v>
      </c>
      <c r="J69" s="22">
        <v>0.015</v>
      </c>
      <c r="L69" s="11">
        <v>243.75</v>
      </c>
      <c r="M69" s="50">
        <v>44655.0</v>
      </c>
      <c r="N69" s="22">
        <f t="shared" ref="N69:N71" si="35">(F69/L69-1)</f>
        <v>1.647794872</v>
      </c>
      <c r="O69" s="19">
        <f>IFERROR(__xludf.DUMMYFUNCTION("N69 - ((GOOGLEFINANCE(""XLC"")/INDEX(GOOGLEFINANCE(""XLC"",""price"",M69),2,2))-1)"),1.0177386920195908)</f>
        <v>1.017738692</v>
      </c>
      <c r="P69" s="19">
        <f>IFERROR(__xludf.DUMMYFUNCTION("N69 - ((GOOGLEFINANCE(""SPY"")/INDEX(GOOGLEFINANCE(""SPY"",""price"",M69),2,2))-1)"),1.153683663388567)</f>
        <v>1.153683663</v>
      </c>
      <c r="Q69" s="78">
        <f>IFERROR(__xludf.DUMMYFUNCTION("IFERROR(GOOGLEFINANCE(B69, ""beta""), ""N/A"")"),1.28)</f>
        <v>1.28</v>
      </c>
      <c r="S69" s="18" t="s">
        <v>19</v>
      </c>
      <c r="T69" s="25">
        <v>45720.0</v>
      </c>
      <c r="U69" s="24">
        <v>816.71</v>
      </c>
      <c r="V69" s="19">
        <f t="shared" ref="V69:V71" si="36">IFERROR(F69/U69-1, "NA")</f>
        <v>-0.209756217</v>
      </c>
    </row>
    <row r="70" ht="15.75" customHeight="1">
      <c r="A70" s="17"/>
      <c r="B70" s="23" t="s">
        <v>223</v>
      </c>
      <c r="C70" s="23" t="s">
        <v>224</v>
      </c>
      <c r="E70" s="11" t="str">
        <f>IFERROR(__xludf.DUMMYFUNCTION("SPARKLINE(GOOGLEFINANCE(B70, ""price"", TODAY()-365, TODAY(), ""DAILY""))"),"")</f>
        <v/>
      </c>
      <c r="F70" s="11">
        <f>IFERROR(__xludf.DUMMYFUNCTION("IFERROR(GOOGLEFINANCE(B70), 0)"),163.36)</f>
        <v>163.36</v>
      </c>
      <c r="G70" s="77">
        <v>396.0</v>
      </c>
      <c r="H70" s="11">
        <f t="shared" si="33"/>
        <v>64690.56</v>
      </c>
      <c r="I70" s="19">
        <f t="shared" si="34"/>
        <v>0.02426786981</v>
      </c>
      <c r="J70" s="22">
        <v>0.0095</v>
      </c>
      <c r="L70" s="11">
        <v>84.38</v>
      </c>
      <c r="M70" s="50">
        <v>45261.0</v>
      </c>
      <c r="N70" s="22">
        <f t="shared" si="35"/>
        <v>0.9360037924</v>
      </c>
      <c r="O70" s="19">
        <f>IFERROR(__xludf.DUMMYFUNCTION("N70 - ((GOOGLEFINANCE(""XLC"")/INDEX(GOOGLEFINANCE(""XLC"",""price"",M70),2,2))-1)"),0.2758693337782445)</f>
        <v>0.2758693338</v>
      </c>
      <c r="P70" s="19">
        <f>IFERROR(__xludf.DUMMYFUNCTION("N70 - ((GOOGLEFINANCE(""SPY"")/INDEX(GOOGLEFINANCE(""SPY"",""price"",M70),2,2))-1)"),0.44937778496206615)</f>
        <v>0.449377785</v>
      </c>
      <c r="Q70" s="78">
        <f>IFERROR(__xludf.DUMMYFUNCTION("IFERROR(GOOGLEFINANCE(B70, ""beta""), ""N/A"")"),1.18)</f>
        <v>1.18</v>
      </c>
      <c r="S70" s="18" t="s">
        <v>27</v>
      </c>
      <c r="T70" s="25">
        <v>45261.0</v>
      </c>
      <c r="U70" s="24">
        <v>123.99</v>
      </c>
      <c r="V70" s="19">
        <f t="shared" si="36"/>
        <v>0.3175256069</v>
      </c>
    </row>
    <row r="71" ht="15.75" customHeight="1">
      <c r="A71" s="17"/>
      <c r="B71" s="23" t="s">
        <v>88</v>
      </c>
      <c r="C71" s="23" t="s">
        <v>225</v>
      </c>
      <c r="E71" s="11" t="str">
        <f>IFERROR(__xludf.DUMMYFUNCTION("SPARKLINE(GOOGLEFINANCE(B71, ""price"", TODAY()-365, TODAY(), ""DAILY""))"),"")</f>
        <v/>
      </c>
      <c r="F71" s="11">
        <f>IFERROR(__xludf.DUMMYFUNCTION("IFERROR(GOOGLEFINANCE(B71), 0)"),116.06)</f>
        <v>116.06</v>
      </c>
      <c r="G71" s="49">
        <v>0.0</v>
      </c>
      <c r="H71" s="11">
        <f t="shared" si="33"/>
        <v>0</v>
      </c>
      <c r="I71" s="19">
        <f t="shared" si="34"/>
        <v>0</v>
      </c>
      <c r="J71" s="22">
        <f>I71</f>
        <v>0</v>
      </c>
      <c r="L71" s="11">
        <v>68.9</v>
      </c>
      <c r="M71" s="50">
        <v>45191.0</v>
      </c>
      <c r="N71" s="22">
        <f t="shared" si="35"/>
        <v>0.6844702467</v>
      </c>
      <c r="Q71" s="78" t="str">
        <f>IFERROR(__xludf.DUMMYFUNCTION("IFERROR(GOOGLEFINANCE(B71, ""beta""), ""N/A"")"),"N/A")</f>
        <v>N/A</v>
      </c>
      <c r="S71" s="18" t="s">
        <v>36</v>
      </c>
      <c r="T71" s="18" t="s">
        <v>36</v>
      </c>
      <c r="U71" s="24" t="s">
        <v>36</v>
      </c>
      <c r="V71" s="19" t="str">
        <f t="shared" si="36"/>
        <v>NA</v>
      </c>
    </row>
    <row r="72" ht="15.75" customHeight="1">
      <c r="A72" s="6" t="s">
        <v>32</v>
      </c>
      <c r="B72" s="82"/>
      <c r="C72" s="82"/>
      <c r="D72" s="82"/>
      <c r="E72" s="112"/>
      <c r="F72" s="112"/>
      <c r="G72" s="113"/>
      <c r="H72" s="47">
        <f>SUM(H69:H71)</f>
        <v>163436.76</v>
      </c>
      <c r="I72" s="48">
        <f t="shared" si="34"/>
        <v>0.0613112951</v>
      </c>
      <c r="J72" s="48">
        <v>0.06</v>
      </c>
      <c r="K72" s="82"/>
      <c r="L72" s="47">
        <f>SUMPRODUCT(L69:L71, G69:G71)</f>
        <v>70708.23</v>
      </c>
      <c r="M72" s="46">
        <f>AVERAGE(M69:M71)</f>
        <v>45035.66667</v>
      </c>
      <c r="N72" s="45">
        <f>H72/L72-1</f>
        <v>1.311424851</v>
      </c>
      <c r="O72" s="82"/>
      <c r="P72" s="82"/>
      <c r="Q72" s="83">
        <f>SUMPRODUCT(I69:I70/SUMIF(Q69:Q70, "&lt;&gt;N/A", I69:I70),Q69:Q70)</f>
        <v>1.240418599</v>
      </c>
      <c r="R72" s="82"/>
      <c r="S72" s="82"/>
      <c r="T72" s="114"/>
      <c r="U72" s="112"/>
      <c r="V72" s="115"/>
    </row>
    <row r="73" ht="15.75" customHeight="1">
      <c r="A73" s="104"/>
      <c r="E73" s="11"/>
      <c r="F73" s="11"/>
      <c r="G73" s="49"/>
      <c r="H73" s="11"/>
      <c r="I73" s="19"/>
      <c r="J73" s="19"/>
      <c r="L73" s="11"/>
      <c r="M73" s="50"/>
      <c r="N73" s="22"/>
      <c r="Q73" s="78"/>
      <c r="T73" s="50"/>
      <c r="U73" s="11"/>
      <c r="V73" s="19"/>
    </row>
    <row r="74" ht="15.75" customHeight="1">
      <c r="A74" s="6" t="s">
        <v>91</v>
      </c>
      <c r="B74" s="7"/>
      <c r="C74" s="7"/>
      <c r="D74" s="7"/>
      <c r="E74" s="9"/>
      <c r="F74" s="9"/>
      <c r="G74" s="10"/>
      <c r="H74" s="11"/>
      <c r="I74" s="8"/>
      <c r="J74" s="8"/>
      <c r="K74" s="7"/>
      <c r="L74" s="9"/>
      <c r="M74" s="12"/>
      <c r="N74" s="13"/>
      <c r="Q74" s="78"/>
      <c r="R74" s="7"/>
      <c r="S74" s="7"/>
      <c r="T74" s="12"/>
      <c r="U74" s="9"/>
      <c r="V74" s="8"/>
    </row>
    <row r="75" ht="15.75" customHeight="1">
      <c r="A75" s="17"/>
      <c r="B75" s="23" t="s">
        <v>133</v>
      </c>
      <c r="C75" s="23" t="s">
        <v>226</v>
      </c>
      <c r="E75" s="11" t="str">
        <f>IFERROR(__xludf.DUMMYFUNCTION("SPARKLINE(GOOGLEFINANCE(B75, ""price"", TODAY()-365, TODAY(), ""DAILY""))"),"")</f>
        <v/>
      </c>
      <c r="F75" s="11">
        <f>IFERROR(__xludf.DUMMYFUNCTION("IFERROR(GOOGLEFINANCE(B75), 0)"),93.55)</f>
        <v>93.55</v>
      </c>
      <c r="G75" s="87">
        <v>156.0</v>
      </c>
      <c r="H75" s="11">
        <f t="shared" ref="H75:H78" si="37">F75*G75</f>
        <v>14593.8</v>
      </c>
      <c r="I75" s="19">
        <f t="shared" ref="I75:I79" si="38">H75/$H$121</f>
        <v>0.005474685</v>
      </c>
      <c r="J75" s="22">
        <v>0.015</v>
      </c>
      <c r="L75" s="11">
        <v>44.96</v>
      </c>
      <c r="M75" s="50">
        <v>43199.0</v>
      </c>
      <c r="N75" s="22">
        <f t="shared" ref="N75:N78" si="39">(F75/L75-1)</f>
        <v>1.080738434</v>
      </c>
      <c r="O75" s="19">
        <f>IFERROR(__xludf.DUMMYFUNCTION("N75 - ((GOOGLEFINANCE(""XLU"")/INDEX(GOOGLEFINANCE(""XLU"",""price"",M75),2,2))-1)"),0.2347368506324261)</f>
        <v>0.2347368506</v>
      </c>
      <c r="P75" s="19">
        <f>IFERROR(__xludf.DUMMYFUNCTION("N75 - ((GOOGLEFINANCE(""SPY"")/INDEX(GOOGLEFINANCE(""SPY"",""price"",M75),2,2))-1)"),-0.5342424087481765)</f>
        <v>-0.5342424087</v>
      </c>
      <c r="Q75" s="78">
        <f>IFERROR(__xludf.DUMMYFUNCTION("IFERROR(GOOGLEFINANCE(B75, ""beta""), ""N/A"")"),0.76)</f>
        <v>0.76</v>
      </c>
      <c r="S75" s="18" t="s">
        <v>19</v>
      </c>
      <c r="T75" s="80">
        <v>45923.0</v>
      </c>
      <c r="U75" s="24">
        <v>89.11</v>
      </c>
      <c r="V75" s="19">
        <f t="shared" ref="V75:V78" si="40">IFERROR(F75/U75-1, "NA")</f>
        <v>0.04982605768</v>
      </c>
    </row>
    <row r="76" ht="15.75" customHeight="1">
      <c r="A76" s="17"/>
      <c r="B76" s="18" t="s">
        <v>134</v>
      </c>
      <c r="C76" s="18" t="s">
        <v>227</v>
      </c>
      <c r="E76" s="11" t="str">
        <f>IFERROR(__xludf.DUMMYFUNCTION("SPARKLINE(GOOGLEFINANCE(B76, ""price"", TODAY()-365, TODAY(), ""DAILY""))"),"")</f>
        <v/>
      </c>
      <c r="F76" s="11">
        <f>IFERROR(__xludf.DUMMYFUNCTION("IFERROR(GOOGLEFINANCE(B76), 0)"),296.07)</f>
        <v>296.07</v>
      </c>
      <c r="G76" s="87">
        <v>86.0</v>
      </c>
      <c r="H76" s="11">
        <f t="shared" si="37"/>
        <v>25462.02</v>
      </c>
      <c r="I76" s="19">
        <f t="shared" si="38"/>
        <v>0.009551764377</v>
      </c>
      <c r="J76" s="22">
        <v>0.015</v>
      </c>
      <c r="L76" s="24">
        <v>88.69</v>
      </c>
      <c r="M76" s="25">
        <v>44852.0</v>
      </c>
      <c r="N76" s="22">
        <f t="shared" si="39"/>
        <v>2.33825685</v>
      </c>
      <c r="O76" s="19">
        <f>IFERROR(__xludf.DUMMYFUNCTION("N76 - ((GOOGLEFINANCE(""XLU"")/INDEX(GOOGLEFINANCE(""XLU"",""price"",M76),2,2))-1)"),1.8950504120657996)</f>
        <v>1.895050412</v>
      </c>
      <c r="P76" s="19">
        <f>IFERROR(__xludf.DUMMYFUNCTION("N76 - ((GOOGLEFINANCE(""SPY"")/INDEX(GOOGLEFINANCE(""SPY"",""price"",M76),2,2))-1)"),1.499251649367092)</f>
        <v>1.499251649</v>
      </c>
      <c r="Q76" s="78">
        <f>IFERROR(__xludf.DUMMYFUNCTION("IFERROR(GOOGLEFINANCE(B76, ""beta""), ""N/A"")"),1.13)</f>
        <v>1.13</v>
      </c>
      <c r="S76" s="18" t="s">
        <v>19</v>
      </c>
      <c r="T76" s="25">
        <v>45748.0</v>
      </c>
      <c r="U76" s="24">
        <v>273.05</v>
      </c>
      <c r="V76" s="19">
        <f t="shared" si="40"/>
        <v>0.0843069035</v>
      </c>
    </row>
    <row r="77" ht="15.75" customHeight="1">
      <c r="A77" s="17"/>
      <c r="B77" s="18" t="s">
        <v>228</v>
      </c>
      <c r="C77" s="18" t="s">
        <v>229</v>
      </c>
      <c r="E77" s="11" t="str">
        <f>IFERROR(__xludf.DUMMYFUNCTION("SPARKLINE(GOOGLEFINANCE(B77, ""price"", TODAY()-365, TODAY(), ""DAILY""))"),"")</f>
        <v/>
      </c>
      <c r="F77" s="11">
        <f>IFERROR(__xludf.DUMMYFUNCTION("IFERROR(GOOGLEFINANCE(B77), 0)"),168.73)</f>
        <v>168.73</v>
      </c>
      <c r="G77" s="87">
        <v>194.0</v>
      </c>
      <c r="H77" s="11">
        <f t="shared" si="37"/>
        <v>32733.62</v>
      </c>
      <c r="I77" s="19">
        <f t="shared" si="38"/>
        <v>0.01227961589</v>
      </c>
      <c r="J77" s="22">
        <v>0.0066</v>
      </c>
      <c r="L77" s="24">
        <v>35.94</v>
      </c>
      <c r="M77" s="25">
        <v>45247.0</v>
      </c>
      <c r="N77" s="22">
        <f t="shared" si="39"/>
        <v>3.69476906</v>
      </c>
      <c r="O77" s="19">
        <f>IFERROR(__xludf.DUMMYFUNCTION("N77 - ((GOOGLEFINANCE(""XLU"")/INDEX(GOOGLEFINANCE(""XLU"",""price"",M77),2,2))-1)"),3.197818818773218)</f>
        <v>3.197818819</v>
      </c>
      <c r="P77" s="19">
        <f>IFERROR(__xludf.DUMMYFUNCTION("N77 - ((GOOGLEFINANCE(""SPY"")/INDEX(GOOGLEFINANCE(""SPY"",""price"",M77),2,2))-1)"),3.1807381360538107)</f>
        <v>3.180738136</v>
      </c>
      <c r="Q77" s="78">
        <f>IFERROR(__xludf.DUMMYFUNCTION("IFERROR(GOOGLEFINANCE(B77, ""beta""), ""N/A"")"),1.41)</f>
        <v>1.41</v>
      </c>
      <c r="S77" s="18" t="s">
        <v>19</v>
      </c>
      <c r="T77" s="80">
        <v>45960.0</v>
      </c>
      <c r="U77" s="24">
        <v>143.54</v>
      </c>
      <c r="V77" s="19">
        <f t="shared" si="40"/>
        <v>0.1754911523</v>
      </c>
    </row>
    <row r="78" ht="15.75" customHeight="1">
      <c r="A78" s="17"/>
      <c r="B78" s="18" t="s">
        <v>90</v>
      </c>
      <c r="C78" s="18" t="s">
        <v>230</v>
      </c>
      <c r="E78" s="11" t="str">
        <f>IFERROR(__xludf.DUMMYFUNCTION("SPARKLINE(GOOGLEFINANCE(B78, ""price"", TODAY()-365, TODAY(), ""DAILY""))"),"")</f>
        <v/>
      </c>
      <c r="F78" s="11">
        <f>IFERROR(__xludf.DUMMYFUNCTION("IFERROR(GOOGLEFINANCE(B78), 0)"),46.63)</f>
        <v>46.63</v>
      </c>
      <c r="G78" s="21">
        <v>0.0</v>
      </c>
      <c r="H78" s="11">
        <f t="shared" si="37"/>
        <v>0</v>
      </c>
      <c r="I78" s="19">
        <f t="shared" si="38"/>
        <v>0</v>
      </c>
      <c r="J78" s="22">
        <f>I78</f>
        <v>0</v>
      </c>
      <c r="L78" s="24">
        <v>68.08</v>
      </c>
      <c r="M78" s="25">
        <v>45191.0</v>
      </c>
      <c r="N78" s="22">
        <f t="shared" si="39"/>
        <v>-0.3150705053</v>
      </c>
      <c r="Q78" s="78" t="str">
        <f>IFERROR(__xludf.DUMMYFUNCTION("IFERROR(GOOGLEFINANCE(B78, ""beta""), ""N/A"")"),"N/A")</f>
        <v>N/A</v>
      </c>
      <c r="S78" s="18" t="s">
        <v>36</v>
      </c>
      <c r="T78" s="18" t="s">
        <v>36</v>
      </c>
      <c r="U78" s="24" t="s">
        <v>36</v>
      </c>
      <c r="V78" s="19" t="str">
        <f t="shared" si="40"/>
        <v>NA</v>
      </c>
    </row>
    <row r="79" ht="15.75" customHeight="1">
      <c r="A79" s="6" t="s">
        <v>32</v>
      </c>
      <c r="B79" s="40"/>
      <c r="C79" s="40"/>
      <c r="D79" s="40"/>
      <c r="E79" s="40"/>
      <c r="F79" s="40"/>
      <c r="G79" s="40"/>
      <c r="H79" s="42">
        <f>SUM(H75:H78)</f>
        <v>72789.44</v>
      </c>
      <c r="I79" s="48">
        <f t="shared" si="38"/>
        <v>0.02730606527</v>
      </c>
      <c r="J79" s="41">
        <v>0.025</v>
      </c>
      <c r="K79" s="40"/>
      <c r="L79" s="42">
        <f>SUMPRODUCT(L75:L78*G75:G78)</f>
        <v>21613.46</v>
      </c>
      <c r="M79" s="44">
        <f>AVERAGE(M75:M78)</f>
        <v>44622.25</v>
      </c>
      <c r="N79" s="45">
        <f>H79/L79-1</f>
        <v>2.367782854</v>
      </c>
      <c r="O79" s="82"/>
      <c r="P79" s="82"/>
      <c r="Q79" s="83">
        <f>SUMPRODUCT(I75:I76/SUMIF(Q75:Q76, "&lt;&gt;N/A", I75:I76),Q75:Q76)</f>
        <v>0.9951954697</v>
      </c>
      <c r="R79" s="40"/>
      <c r="S79" s="40"/>
      <c r="T79" s="44"/>
      <c r="U79" s="42"/>
      <c r="V79" s="41"/>
    </row>
    <row r="80" ht="15.75" customHeight="1">
      <c r="A80" s="104"/>
      <c r="E80" s="11"/>
      <c r="F80" s="11"/>
      <c r="G80" s="49"/>
      <c r="H80" s="11"/>
      <c r="I80" s="19"/>
      <c r="J80" s="19"/>
      <c r="L80" s="11"/>
      <c r="M80" s="50"/>
      <c r="N80" s="22"/>
      <c r="Q80" s="78"/>
      <c r="T80" s="50"/>
      <c r="U80" s="11"/>
      <c r="V80" s="19"/>
    </row>
    <row r="81" ht="15.75" customHeight="1">
      <c r="A81" s="6" t="s">
        <v>69</v>
      </c>
      <c r="B81" s="7"/>
      <c r="C81" s="7"/>
      <c r="D81" s="7"/>
      <c r="E81" s="9"/>
      <c r="F81" s="9"/>
      <c r="G81" s="10"/>
      <c r="H81" s="11"/>
      <c r="I81" s="8"/>
      <c r="J81" s="8"/>
      <c r="K81" s="7"/>
      <c r="L81" s="9"/>
      <c r="M81" s="12"/>
      <c r="N81" s="13"/>
      <c r="Q81" s="78"/>
      <c r="R81" s="7"/>
      <c r="S81" s="7"/>
      <c r="T81" s="12"/>
      <c r="U81" s="9"/>
      <c r="V81" s="8"/>
    </row>
    <row r="82" ht="15.75" customHeight="1">
      <c r="A82" s="17"/>
      <c r="B82" s="116" t="s">
        <v>231</v>
      </c>
      <c r="C82" s="117"/>
      <c r="D82" s="118"/>
      <c r="E82" s="119"/>
      <c r="F82" s="119"/>
      <c r="G82" s="120"/>
      <c r="H82" s="119"/>
      <c r="I82" s="121"/>
      <c r="J82" s="122"/>
      <c r="K82" s="118"/>
      <c r="L82" s="119"/>
      <c r="M82" s="123"/>
      <c r="N82" s="122"/>
      <c r="O82" s="118"/>
      <c r="P82" s="118"/>
      <c r="Q82" s="124"/>
      <c r="R82" s="118"/>
      <c r="S82" s="125"/>
      <c r="T82" s="126"/>
      <c r="U82" s="127"/>
      <c r="V82" s="121"/>
    </row>
    <row r="83" ht="15.75" customHeight="1">
      <c r="A83" s="17"/>
      <c r="B83" s="91" t="s">
        <v>144</v>
      </c>
      <c r="C83" s="18" t="str">
        <f>IFERROR(__xludf.DUMMYFUNCTION("GOOGLEFINANCE(B83, ""Name"")"),"Archer-Daniels-Midland Co")</f>
        <v>Archer-Daniels-Midland Co</v>
      </c>
      <c r="E83" s="11" t="str">
        <f>IFERROR(__xludf.DUMMYFUNCTION("SPARKLINE(GOOGLEFINANCE(B83, ""price"", TODAY()-365, TODAY(), ""DAILY""))"),"")</f>
        <v/>
      </c>
      <c r="F83" s="11">
        <f>IFERROR(__xludf.DUMMYFUNCTION("IFERROR(GOOGLEFINANCE(B83), 0)"),67.98)</f>
        <v>67.98</v>
      </c>
      <c r="G83" s="87">
        <v>59.0</v>
      </c>
      <c r="H83" s="11">
        <f t="shared" ref="H83:H87" si="41">F83*G83</f>
        <v>4010.82</v>
      </c>
      <c r="I83" s="19">
        <f t="shared" ref="I83:I88" si="42">H83/$H$121</f>
        <v>0.001504609909</v>
      </c>
      <c r="J83" s="22">
        <v>0.002</v>
      </c>
      <c r="L83" s="128">
        <v>64.96</v>
      </c>
      <c r="M83" s="96">
        <v>45693.0</v>
      </c>
      <c r="N83" s="22">
        <f t="shared" ref="N83:N87" si="43">(F83/L83-1)</f>
        <v>0.04649014778</v>
      </c>
      <c r="O83" s="19">
        <f>IFERROR(__xludf.DUMMYFUNCTION("N83 - ((GOOGLEFINANCE(""SPY"")/INDEX(GOOGLEFINANCE(""SPY"",""price"",M83),2,2))-1)"),-0.08308186241171067)</f>
        <v>-0.08308186241</v>
      </c>
      <c r="P83" s="40"/>
      <c r="Q83" s="78">
        <f>IFERROR(__xludf.DUMMYFUNCTION("IFERROR(GOOGLEFINANCE(B83, ""beta""), ""N/A"")"),0.71)</f>
        <v>0.71</v>
      </c>
      <c r="S83" s="18" t="s">
        <v>232</v>
      </c>
      <c r="T83" s="96">
        <v>45691.0</v>
      </c>
      <c r="U83" s="24"/>
      <c r="V83" s="19"/>
    </row>
    <row r="84" ht="15.75" customHeight="1">
      <c r="A84" s="17"/>
      <c r="B84" s="91" t="s">
        <v>103</v>
      </c>
      <c r="C84" s="18" t="str">
        <f>IFERROR(__xludf.DUMMYFUNCTION("GOOGLEFINANCE(B84, ""Name"")"),"Principal Financial Group Inc")</f>
        <v>Principal Financial Group Inc</v>
      </c>
      <c r="E84" s="11" t="str">
        <f>IFERROR(__xludf.DUMMYFUNCTION("SPARKLINE(GOOGLEFINANCE(B84, ""price"", TODAY()-365, TODAY(), ""DAILY""))"),"")</f>
        <v/>
      </c>
      <c r="F84" s="11">
        <f>IFERROR(__xludf.DUMMYFUNCTION("IFERROR(GOOGLEFINANCE(B84), 0)"),93.27)</f>
        <v>93.27</v>
      </c>
      <c r="G84" s="87">
        <v>41.0</v>
      </c>
      <c r="H84" s="11">
        <f t="shared" si="41"/>
        <v>3824.07</v>
      </c>
      <c r="I84" s="19">
        <f t="shared" si="42"/>
        <v>0.001434552938</v>
      </c>
      <c r="J84" s="22">
        <v>0.002</v>
      </c>
      <c r="L84" s="128">
        <v>95.91</v>
      </c>
      <c r="M84" s="96">
        <v>45693.0</v>
      </c>
      <c r="N84" s="22">
        <f t="shared" si="43"/>
        <v>-0.02752580544</v>
      </c>
      <c r="O84" s="19">
        <f>IFERROR(__xludf.DUMMYFUNCTION("N84 - ((GOOGLEFINANCE(""SPY"")/INDEX(GOOGLEFINANCE(""SPY"",""price"",M84),2,2))-1)"),-0.15709781563756442)</f>
        <v>-0.1570978156</v>
      </c>
      <c r="P84" s="40"/>
      <c r="Q84" s="78">
        <f>IFERROR(__xludf.DUMMYFUNCTION("IFERROR(GOOGLEFINANCE(B84, ""beta""), ""N/A"")"),0.89)</f>
        <v>0.89</v>
      </c>
      <c r="S84" s="18" t="s">
        <v>232</v>
      </c>
      <c r="T84" s="96">
        <v>45691.0</v>
      </c>
      <c r="U84" s="24"/>
      <c r="V84" s="19"/>
    </row>
    <row r="85" ht="15.75" customHeight="1">
      <c r="A85" s="17"/>
      <c r="B85" s="91" t="s">
        <v>233</v>
      </c>
      <c r="C85" s="18" t="str">
        <f>IFERROR(__xludf.DUMMYFUNCTION("GOOGLEFINANCE(B85, ""Name"")"),"Viatris Inc")</f>
        <v>Viatris Inc</v>
      </c>
      <c r="E85" s="11" t="str">
        <f>IFERROR(__xludf.DUMMYFUNCTION("SPARKLINE(GOOGLEFINANCE(B85, ""price"", TODAY()-365, TODAY(), ""DAILY""))"),"")</f>
        <v/>
      </c>
      <c r="F85" s="11">
        <f>IFERROR(__xludf.DUMMYFUNCTION("IFERROR(GOOGLEFINANCE(B85), 0)"),15.89)</f>
        <v>15.89</v>
      </c>
      <c r="G85" s="87">
        <v>292.0</v>
      </c>
      <c r="H85" s="11">
        <f t="shared" si="41"/>
        <v>4639.88</v>
      </c>
      <c r="I85" s="19">
        <f t="shared" si="42"/>
        <v>0.001740594049</v>
      </c>
      <c r="J85" s="22">
        <v>0.002</v>
      </c>
      <c r="L85" s="128">
        <v>14.32</v>
      </c>
      <c r="M85" s="96">
        <v>45693.0</v>
      </c>
      <c r="N85" s="22">
        <f t="shared" si="43"/>
        <v>0.1096368715</v>
      </c>
      <c r="O85" s="19">
        <f>IFERROR(__xludf.DUMMYFUNCTION("N85 - ((GOOGLEFINANCE(""SPY"")/INDEX(GOOGLEFINANCE(""SPY"",""price"",M85),2,2))-1)"),-0.019935138686582032)</f>
        <v>-0.01993513869</v>
      </c>
      <c r="P85" s="40"/>
      <c r="Q85" s="78">
        <f>IFERROR(__xludf.DUMMYFUNCTION("IFERROR(GOOGLEFINANCE(B85, ""beta""), ""N/A"")"),0.79)</f>
        <v>0.79</v>
      </c>
      <c r="S85" s="18" t="s">
        <v>232</v>
      </c>
      <c r="T85" s="96">
        <v>45691.0</v>
      </c>
      <c r="U85" s="24"/>
      <c r="V85" s="19"/>
    </row>
    <row r="86" ht="15.75" customHeight="1">
      <c r="A86" s="17"/>
      <c r="B86" s="91" t="s">
        <v>234</v>
      </c>
      <c r="C86" s="18" t="str">
        <f>IFERROR(__xludf.DUMMYFUNCTION("GOOGLEFINANCE(B86, ""Name"")"),"AT&amp;T Inc")</f>
        <v>AT&amp;T Inc</v>
      </c>
      <c r="E86" s="11" t="str">
        <f>IFERROR(__xludf.DUMMYFUNCTION("SPARKLINE(GOOGLEFINANCE(B86, ""price"", TODAY()-365, TODAY(), ""DAILY""))"),"")</f>
        <v/>
      </c>
      <c r="F86" s="11">
        <f>IFERROR(__xludf.DUMMYFUNCTION("IFERROR(GOOGLEFINANCE(B86), 0)"),28.82)</f>
        <v>28.82</v>
      </c>
      <c r="G86" s="87">
        <v>149.0</v>
      </c>
      <c r="H86" s="11">
        <f t="shared" si="41"/>
        <v>4294.18</v>
      </c>
      <c r="I86" s="19">
        <f t="shared" si="42"/>
        <v>0.001610908936</v>
      </c>
      <c r="J86" s="22">
        <v>0.002</v>
      </c>
      <c r="L86" s="128">
        <v>27.17</v>
      </c>
      <c r="M86" s="96">
        <v>45693.0</v>
      </c>
      <c r="N86" s="22">
        <f t="shared" si="43"/>
        <v>0.06072874494</v>
      </c>
      <c r="O86" s="19">
        <f>IFERROR(__xludf.DUMMYFUNCTION("N86 - ((GOOGLEFINANCE(""SPY"")/INDEX(GOOGLEFINANCE(""SPY"",""price"",M86),2,2))-1)"),-0.06884326525569073)</f>
        <v>-0.06884326526</v>
      </c>
      <c r="P86" s="40"/>
      <c r="Q86" s="78">
        <f>IFERROR(__xludf.DUMMYFUNCTION("IFERROR(GOOGLEFINANCE(B86, ""beta""), ""N/A"")"),0.4)</f>
        <v>0.4</v>
      </c>
      <c r="S86" s="18" t="s">
        <v>232</v>
      </c>
      <c r="T86" s="96">
        <v>45691.0</v>
      </c>
      <c r="U86" s="24"/>
      <c r="V86" s="19"/>
    </row>
    <row r="87" ht="15.75" customHeight="1">
      <c r="A87" s="17"/>
      <c r="B87" s="91" t="s">
        <v>235</v>
      </c>
      <c r="C87" s="18" t="str">
        <f>IFERROR(__xludf.DUMMYFUNCTION("GOOGLEFINANCE(B87, ""Name"")"),"Chevron Corp")</f>
        <v>Chevron Corp</v>
      </c>
      <c r="E87" s="11" t="str">
        <f>IFERROR(__xludf.DUMMYFUNCTION("SPARKLINE(GOOGLEFINANCE(B87, ""price"", TODAY()-365, TODAY(), ""DAILY""))"),"")</f>
        <v/>
      </c>
      <c r="F87" s="11">
        <f>IFERROR(__xludf.DUMMYFUNCTION("IFERROR(GOOGLEFINANCE(B87), 0)"),185.33)</f>
        <v>185.33</v>
      </c>
      <c r="G87" s="87">
        <v>22.0</v>
      </c>
      <c r="H87" s="11">
        <f t="shared" si="41"/>
        <v>4077.26</v>
      </c>
      <c r="I87" s="19">
        <f t="shared" si="42"/>
        <v>0.00152953406</v>
      </c>
      <c r="J87" s="22">
        <v>0.002</v>
      </c>
      <c r="L87" s="128">
        <v>179.27</v>
      </c>
      <c r="M87" s="96">
        <v>45693.0</v>
      </c>
      <c r="N87" s="22">
        <f t="shared" si="43"/>
        <v>0.03380375969</v>
      </c>
      <c r="O87" s="19">
        <f>IFERROR(__xludf.DUMMYFUNCTION("N87 - ((GOOGLEFINANCE(""SPY"")/INDEX(GOOGLEFINANCE(""SPY"",""price"",M87),2,2))-1)"),-0.0957682505028774)</f>
        <v>-0.0957682505</v>
      </c>
      <c r="P87" s="40"/>
      <c r="Q87" s="78">
        <f>IFERROR(__xludf.DUMMYFUNCTION("IFERROR(GOOGLEFINANCE(B87, ""beta""), ""N/A"")"),0.7)</f>
        <v>0.7</v>
      </c>
      <c r="S87" s="18" t="s">
        <v>232</v>
      </c>
      <c r="T87" s="96">
        <v>45691.0</v>
      </c>
      <c r="U87" s="24"/>
      <c r="V87" s="19"/>
    </row>
    <row r="88" ht="15.75" customHeight="1">
      <c r="A88" s="6" t="s">
        <v>236</v>
      </c>
      <c r="B88" s="129"/>
      <c r="C88" s="129"/>
      <c r="D88" s="118"/>
      <c r="E88" s="119"/>
      <c r="F88" s="119"/>
      <c r="G88" s="120"/>
      <c r="H88" s="130">
        <f>SUM(H83:H87)</f>
        <v>20846.21</v>
      </c>
      <c r="I88" s="48">
        <f t="shared" si="42"/>
        <v>0.007820199893</v>
      </c>
      <c r="J88" s="131">
        <v>0.01</v>
      </c>
      <c r="K88" s="118"/>
      <c r="L88" s="42">
        <f>SUMPRODUCT(G83:G87,L83:L87)</f>
        <v>19938.66</v>
      </c>
      <c r="M88" s="44">
        <f>AVERAGE(M83:M87)</f>
        <v>45693</v>
      </c>
      <c r="N88" s="45">
        <f>(H88/L88-1)</f>
        <v>0.04551710095</v>
      </c>
      <c r="O88" s="8">
        <f>IFERROR(__xludf.DUMMYFUNCTION("N88 - ((GOOGLEFINANCE(""SPY"")/INDEX(GOOGLEFINANCE(""SPY"",""price"",M88),2,2))-1)"),-0.08405490924635273)</f>
        <v>-0.08405490925</v>
      </c>
      <c r="P88" s="118"/>
      <c r="Q88" s="83">
        <f>SUMPRODUCT(I83:I87/SUMIF(Q83:Q87, "&lt;&gt;N/A", I83:I87),Q83:Q87)</f>
        <v>0.6950118847</v>
      </c>
      <c r="R88" s="118"/>
      <c r="S88" s="118"/>
      <c r="T88" s="123"/>
      <c r="U88" s="127"/>
      <c r="V88" s="121"/>
    </row>
    <row r="89" ht="15.75" customHeight="1">
      <c r="A89" s="17"/>
      <c r="B89" s="132" t="s">
        <v>237</v>
      </c>
      <c r="C89" s="117"/>
      <c r="D89" s="118"/>
      <c r="E89" s="119"/>
      <c r="F89" s="119"/>
      <c r="G89" s="120"/>
      <c r="H89" s="119"/>
      <c r="I89" s="121"/>
      <c r="J89" s="121"/>
      <c r="K89" s="118"/>
      <c r="L89" s="118"/>
      <c r="M89" s="123"/>
      <c r="N89" s="122"/>
      <c r="O89" s="118"/>
      <c r="P89" s="118"/>
      <c r="Q89" s="124"/>
      <c r="R89" s="118"/>
      <c r="S89" s="118"/>
      <c r="T89" s="123"/>
      <c r="U89" s="127"/>
      <c r="V89" s="121"/>
    </row>
    <row r="90" ht="15.75" customHeight="1">
      <c r="A90" s="17"/>
      <c r="B90" s="91" t="s">
        <v>238</v>
      </c>
      <c r="C90" s="23" t="str">
        <f>IFERROR(__xludf.DUMMYFUNCTION("GOOGLEFINANCE(B90, ""Name"")"),"Chipotle Mexican Grill Inc")</f>
        <v>Chipotle Mexican Grill Inc</v>
      </c>
      <c r="E90" s="11" t="str">
        <f>IFERROR(__xludf.DUMMYFUNCTION("SPARKLINE(GOOGLEFINANCE(B90, ""price"", TODAY()-365, TODAY(), ""DAILY""))"),"")</f>
        <v/>
      </c>
      <c r="F90" s="11">
        <f>IFERROR(__xludf.DUMMYFUNCTION("IFERROR(GOOGLEFINANCE(B90), 0)"),36.39)</f>
        <v>36.39</v>
      </c>
      <c r="G90" s="87">
        <v>153.0</v>
      </c>
      <c r="H90" s="11">
        <f t="shared" ref="H90:H95" si="44">F90*G90</f>
        <v>5567.67</v>
      </c>
      <c r="I90" s="19">
        <f t="shared" ref="I90:I98" si="45">H90/$H$121</f>
        <v>0.002088643084</v>
      </c>
      <c r="J90" s="22">
        <v>0.00167</v>
      </c>
      <c r="L90" s="91">
        <v>38.88</v>
      </c>
      <c r="M90" s="96">
        <v>45693.0</v>
      </c>
      <c r="N90" s="22">
        <f t="shared" ref="N90:N95" si="46">(F90/L90-1)</f>
        <v>-0.06404320988</v>
      </c>
      <c r="O90" s="19">
        <f>IFERROR(__xludf.DUMMYFUNCTION("N90 - ((GOOGLEFINANCE(""SPY"")/INDEX(GOOGLEFINANCE(""SPY"",""price"",M90),2,2))-1)"),-0.19361522007150522)</f>
        <v>-0.1936152201</v>
      </c>
      <c r="P90" s="40"/>
      <c r="Q90" s="78">
        <f>IFERROR(__xludf.DUMMYFUNCTION("IFERROR(GOOGLEFINANCE(B90, ""beta""), ""N/A"")"),0.99)</f>
        <v>0.99</v>
      </c>
      <c r="S90" s="91" t="s">
        <v>232</v>
      </c>
      <c r="T90" s="96">
        <v>45691.0</v>
      </c>
      <c r="U90" s="24"/>
      <c r="V90" s="19"/>
    </row>
    <row r="91" ht="15.75" customHeight="1">
      <c r="A91" s="17"/>
      <c r="B91" s="91" t="s">
        <v>239</v>
      </c>
      <c r="C91" s="23" t="str">
        <f>IFERROR(__xludf.DUMMYFUNCTION("GOOGLEFINANCE(B91, ""Name"")"),"Texas Pacific Land Corp")</f>
        <v>Texas Pacific Land Corp</v>
      </c>
      <c r="E91" s="11" t="str">
        <f>IFERROR(__xludf.DUMMYFUNCTION("SPARKLINE(GOOGLEFINANCE(B91, ""price"", TODAY()-365, TODAY(), ""DAILY""))"),"")</f>
        <v/>
      </c>
      <c r="F91" s="11">
        <f>IFERROR(__xludf.DUMMYFUNCTION("IFERROR(GOOGLEFINANCE(B91), 0)"),525.12)</f>
        <v>525.12</v>
      </c>
      <c r="G91" s="87">
        <v>17.0</v>
      </c>
      <c r="H91" s="11">
        <f t="shared" si="44"/>
        <v>8927.04</v>
      </c>
      <c r="I91" s="19">
        <f t="shared" si="45"/>
        <v>0.003348869519</v>
      </c>
      <c r="J91" s="22">
        <v>0.00167</v>
      </c>
      <c r="L91" s="91">
        <v>343.75</v>
      </c>
      <c r="M91" s="96">
        <v>45693.0</v>
      </c>
      <c r="N91" s="22">
        <f t="shared" si="46"/>
        <v>0.5276218182</v>
      </c>
      <c r="O91" s="19">
        <f>IFERROR(__xludf.DUMMYFUNCTION("N91 - ((GOOGLEFINANCE(""SPY"")/INDEX(GOOGLEFINANCE(""SPY"",""price"",M91),2,2))-1)"),0.3980498079868562)</f>
        <v>0.398049808</v>
      </c>
      <c r="P91" s="40"/>
      <c r="Q91" s="78">
        <f>IFERROR(__xludf.DUMMYFUNCTION("IFERROR(GOOGLEFINANCE(B91, ""beta""), ""N/A"")"),0.77)</f>
        <v>0.77</v>
      </c>
      <c r="S91" s="91" t="s">
        <v>232</v>
      </c>
      <c r="T91" s="96">
        <v>45691.0</v>
      </c>
      <c r="U91" s="24"/>
      <c r="V91" s="19"/>
    </row>
    <row r="92" ht="15.75" customHeight="1">
      <c r="A92" s="17"/>
      <c r="B92" s="91" t="s">
        <v>240</v>
      </c>
      <c r="C92" s="23" t="str">
        <f>IFERROR(__xludf.DUMMYFUNCTION("GOOGLEFINANCE(B92, ""Name"")"),"Monolithic Power Systems Inc")</f>
        <v>Monolithic Power Systems Inc</v>
      </c>
      <c r="E92" s="11" t="str">
        <f>IFERROR(__xludf.DUMMYFUNCTION("SPARKLINE(GOOGLEFINANCE(B92, ""price"", TODAY()-365, TODAY(), ""DAILY""))"),"")</f>
        <v/>
      </c>
      <c r="F92" s="11">
        <f>IFERROR(__xludf.DUMMYFUNCTION("IFERROR(GOOGLEFINANCE(B92), 0)"),1185.28)</f>
        <v>1185.28</v>
      </c>
      <c r="G92" s="87">
        <v>5.0</v>
      </c>
      <c r="H92" s="11">
        <f t="shared" si="44"/>
        <v>5926.4</v>
      </c>
      <c r="I92" s="19">
        <f t="shared" si="45"/>
        <v>0.002223216241</v>
      </c>
      <c r="J92" s="22">
        <v>0.00167</v>
      </c>
      <c r="L92" s="128">
        <v>1169.7</v>
      </c>
      <c r="M92" s="96">
        <v>45693.0</v>
      </c>
      <c r="N92" s="22">
        <f t="shared" si="46"/>
        <v>0.01331965461</v>
      </c>
      <c r="O92" s="19">
        <f>IFERROR(__xludf.DUMMYFUNCTION("N92 - ((GOOGLEFINANCE(""SPY"")/INDEX(GOOGLEFINANCE(""SPY"",""price"",M92),2,2))-1)"),-0.11625235558266822)</f>
        <v>-0.1162523556</v>
      </c>
      <c r="P92" s="40"/>
      <c r="Q92" s="78">
        <f>IFERROR(__xludf.DUMMYFUNCTION("IFERROR(GOOGLEFINANCE(B92, ""beta""), ""N/A"")"),1.45)</f>
        <v>1.45</v>
      </c>
      <c r="S92" s="91" t="s">
        <v>232</v>
      </c>
      <c r="T92" s="96">
        <v>45691.0</v>
      </c>
      <c r="U92" s="24"/>
      <c r="V92" s="19"/>
    </row>
    <row r="93" ht="15.75" customHeight="1">
      <c r="A93" s="17"/>
      <c r="B93" s="91" t="s">
        <v>241</v>
      </c>
      <c r="C93" s="23" t="str">
        <f>IFERROR(__xludf.DUMMYFUNCTION("GOOGLEFINANCE(B93, ""Name"")"),"Pultegroup Inc")</f>
        <v>Pultegroup Inc</v>
      </c>
      <c r="E93" s="11" t="str">
        <f>IFERROR(__xludf.DUMMYFUNCTION("SPARKLINE(GOOGLEFINANCE(B93, ""price"", TODAY()-365, TODAY(), ""DAILY""))"),"")</f>
        <v/>
      </c>
      <c r="F93" s="11">
        <f>IFERROR(__xludf.DUMMYFUNCTION("IFERROR(GOOGLEFINANCE(B93), 0)"),138.16)</f>
        <v>138.16</v>
      </c>
      <c r="G93" s="87">
        <v>45.0</v>
      </c>
      <c r="H93" s="11">
        <f t="shared" si="44"/>
        <v>6217.2</v>
      </c>
      <c r="I93" s="19">
        <f t="shared" si="45"/>
        <v>0.002332306293</v>
      </c>
      <c r="J93" s="22">
        <v>0.00167</v>
      </c>
      <c r="L93" s="128">
        <v>133.72</v>
      </c>
      <c r="M93" s="96">
        <v>45693.0</v>
      </c>
      <c r="N93" s="22">
        <f t="shared" si="46"/>
        <v>0.03320370924</v>
      </c>
      <c r="O93" s="19">
        <f>IFERROR(__xludf.DUMMYFUNCTION("N93 - ((GOOGLEFINANCE(""SPY"")/INDEX(GOOGLEFINANCE(""SPY"",""price"",M93),2,2))-1)"),-0.0963683009517673)</f>
        <v>-0.09636830095</v>
      </c>
      <c r="P93" s="40"/>
      <c r="Q93" s="78">
        <f>IFERROR(__xludf.DUMMYFUNCTION("IFERROR(GOOGLEFINANCE(B93, ""beta""), ""N/A"")"),1.33)</f>
        <v>1.33</v>
      </c>
      <c r="S93" s="91" t="s">
        <v>232</v>
      </c>
      <c r="T93" s="96">
        <v>45691.0</v>
      </c>
      <c r="U93" s="24"/>
      <c r="V93" s="19"/>
    </row>
    <row r="94" ht="15.75" customHeight="1">
      <c r="A94" s="17"/>
      <c r="B94" s="91" t="s">
        <v>242</v>
      </c>
      <c r="C94" s="23" t="str">
        <f>IFERROR(__xludf.DUMMYFUNCTION("GOOGLEFINANCE(B94, ""Name"")"),"Incyte Corp")</f>
        <v>Incyte Corp</v>
      </c>
      <c r="E94" s="11" t="str">
        <f>IFERROR(__xludf.DUMMYFUNCTION("SPARKLINE(GOOGLEFINANCE(B94, ""price"", TODAY()-365, TODAY(), ""DAILY""))"),"")</f>
        <v/>
      </c>
      <c r="F94" s="11">
        <f>IFERROR(__xludf.DUMMYFUNCTION("IFERROR(GOOGLEFINANCE(B94), 0)"),100.53)</f>
        <v>100.53</v>
      </c>
      <c r="G94" s="87">
        <v>60.0</v>
      </c>
      <c r="H94" s="11">
        <f t="shared" si="44"/>
        <v>6031.8</v>
      </c>
      <c r="I94" s="19">
        <f t="shared" si="45"/>
        <v>0.002262755758</v>
      </c>
      <c r="J94" s="22">
        <v>0.00167</v>
      </c>
      <c r="L94" s="128">
        <v>103.98</v>
      </c>
      <c r="M94" s="96">
        <v>45693.0</v>
      </c>
      <c r="N94" s="22">
        <f t="shared" si="46"/>
        <v>-0.03317945759</v>
      </c>
      <c r="O94" s="19">
        <f>IFERROR(__xludf.DUMMYFUNCTION("N94 - ((GOOGLEFINANCE(""SPY"")/INDEX(GOOGLEFINANCE(""SPY"",""price"",M94),2,2))-1)"),-0.16275146778295968)</f>
        <v>-0.1627514678</v>
      </c>
      <c r="P94" s="40"/>
      <c r="Q94" s="78">
        <f>IFERROR(__xludf.DUMMYFUNCTION("IFERROR(GOOGLEFINANCE(B94, ""beta""), ""N/A"")"),0.82)</f>
        <v>0.82</v>
      </c>
      <c r="S94" s="91" t="s">
        <v>232</v>
      </c>
      <c r="T94" s="96">
        <v>45691.0</v>
      </c>
      <c r="U94" s="24"/>
      <c r="V94" s="19"/>
    </row>
    <row r="95" ht="15.75" customHeight="1">
      <c r="A95" s="17"/>
      <c r="B95" s="23"/>
      <c r="C95" s="23"/>
      <c r="E95" s="11" t="str">
        <f>IFERROR(__xludf.DUMMYFUNCTION("SPARKLINE(GOOGLEFINANCE(B95, ""price"", TODAY()-365, TODAY(), ""DAILY""))"),"#N/A")</f>
        <v>#N/A</v>
      </c>
      <c r="F95" s="11">
        <f>IFERROR(__xludf.DUMMYFUNCTION("IFERROR(GOOGLEFINANCE(B95), 0)"),0.0)</f>
        <v>0</v>
      </c>
      <c r="G95" s="87">
        <v>0.0</v>
      </c>
      <c r="H95" s="11">
        <f t="shared" si="44"/>
        <v>0</v>
      </c>
      <c r="I95" s="19">
        <f t="shared" si="45"/>
        <v>0</v>
      </c>
      <c r="J95" s="22">
        <v>0.00167</v>
      </c>
      <c r="L95" s="133">
        <v>27.24</v>
      </c>
      <c r="M95" s="50">
        <v>45792.0</v>
      </c>
      <c r="N95" s="22">
        <f t="shared" si="46"/>
        <v>-1</v>
      </c>
      <c r="O95" s="19">
        <f>IFERROR(__xludf.DUMMYFUNCTION("N95 - ((GOOGLEFINANCE(""SPY"")/INDEX(GOOGLEFINANCE(""SPY"",""price"",M95),2,2))-1)"),-1.1558954035836466)</f>
        <v>-1.155895404</v>
      </c>
      <c r="P95" s="40"/>
      <c r="Q95" s="78" t="str">
        <f>IFERROR(__xludf.DUMMYFUNCTION("IFERROR(GOOGLEFINANCE(B95, ""beta""), ""N/A"")"),"N/A")</f>
        <v>N/A</v>
      </c>
      <c r="S95" s="23"/>
      <c r="T95" s="50"/>
      <c r="U95" s="24"/>
      <c r="V95" s="19"/>
    </row>
    <row r="96" ht="15.75" customHeight="1">
      <c r="A96" s="6" t="s">
        <v>243</v>
      </c>
      <c r="B96" s="40"/>
      <c r="C96" s="40"/>
      <c r="D96" s="40"/>
      <c r="E96" s="42"/>
      <c r="F96" s="42"/>
      <c r="G96" s="43"/>
      <c r="H96" s="130">
        <f>SUM(H90:H95)</f>
        <v>32670.11</v>
      </c>
      <c r="I96" s="48">
        <f t="shared" si="45"/>
        <v>0.01225579089</v>
      </c>
      <c r="J96" s="41">
        <v>0.01</v>
      </c>
      <c r="K96" s="40"/>
      <c r="L96" s="42">
        <f>SUMPRODUCT(G90:G95,L90:L95)</f>
        <v>29897.09</v>
      </c>
      <c r="M96" s="44">
        <f>AVERAGE(M90:M95)</f>
        <v>45709.5</v>
      </c>
      <c r="N96" s="45">
        <f>(H96/L96-1)</f>
        <v>0.09275217086</v>
      </c>
      <c r="O96" s="8">
        <f>IFERROR(__xludf.DUMMYFUNCTION("N96 - ((GOOGLEFINANCE(""SPY"")/INDEX(GOOGLEFINANCE(""SPY"",""price"",M96),2,2))-1)"),-0.04487825884618557)</f>
        <v>-0.04487825885</v>
      </c>
      <c r="P96" s="40"/>
      <c r="Q96" s="83">
        <f>SUMPRODUCT(I90:I95/SUMIF(Q90:Q95, "&lt;&gt;N/A", I90:I95),Q90:Q95)</f>
        <v>1.046646188</v>
      </c>
      <c r="R96" s="40"/>
      <c r="S96" s="40"/>
      <c r="T96" s="44"/>
      <c r="U96" s="42"/>
      <c r="V96" s="41"/>
    </row>
    <row r="97" ht="15.75" customHeight="1">
      <c r="A97" s="17"/>
      <c r="B97" s="23" t="s">
        <v>68</v>
      </c>
      <c r="C97" s="23" t="s">
        <v>244</v>
      </c>
      <c r="D97" s="23"/>
      <c r="E97" s="11" t="str">
        <f>IFERROR(__xludf.DUMMYFUNCTION("SPARKLINE(GOOGLEFINANCE(B97, ""price"", TODAY()-365, TODAY(), ""DAILY""))"),"")</f>
        <v/>
      </c>
      <c r="F97" s="11">
        <f>IFERROR(__xludf.DUMMYFUNCTION("GOOGLEFINANCE(B97)"),682.51)</f>
        <v>682.51</v>
      </c>
      <c r="G97" s="21">
        <v>0.0</v>
      </c>
      <c r="H97" s="11">
        <f>F97*G97</f>
        <v>0</v>
      </c>
      <c r="I97" s="19">
        <f t="shared" si="45"/>
        <v>0</v>
      </c>
      <c r="J97" s="19"/>
      <c r="K97" s="23"/>
      <c r="L97" s="11">
        <v>409.19</v>
      </c>
      <c r="M97" s="50"/>
      <c r="N97" s="22"/>
      <c r="Q97" s="78"/>
      <c r="R97" s="23"/>
      <c r="S97" s="23" t="s">
        <v>36</v>
      </c>
      <c r="T97" s="23" t="s">
        <v>36</v>
      </c>
      <c r="U97" s="11" t="s">
        <v>36</v>
      </c>
      <c r="V97" s="23" t="s">
        <v>36</v>
      </c>
    </row>
    <row r="98" ht="15.75" customHeight="1">
      <c r="A98" s="6" t="s">
        <v>32</v>
      </c>
      <c r="B98" s="40"/>
      <c r="C98" s="40"/>
      <c r="D98" s="40"/>
      <c r="E98" s="42"/>
      <c r="F98" s="42"/>
      <c r="G98" s="43"/>
      <c r="H98" s="42">
        <f>SUM(H88,H96,H97)</f>
        <v>53516.32</v>
      </c>
      <c r="I98" s="48">
        <f t="shared" si="45"/>
        <v>0.02007599079</v>
      </c>
      <c r="J98" s="41">
        <v>0.02</v>
      </c>
      <c r="K98" s="40"/>
      <c r="L98" s="42">
        <f>SUMPRODUCT(G83:G87,L83:L87)+SUMPRODUCT(G90:G95,L90:L95)</f>
        <v>49835.75</v>
      </c>
      <c r="M98" s="44">
        <f>AVERAGE(M88, M96)</f>
        <v>45701.25</v>
      </c>
      <c r="N98" s="45">
        <f>(H98/L98-1)</f>
        <v>0.07385401042</v>
      </c>
      <c r="O98" s="8">
        <f>IFERROR(__xludf.DUMMYFUNCTION("N98 - ((GOOGLEFINANCE(""SPY"")/INDEX(GOOGLEFINANCE(""SPY"",""price"",M98),2,2))-1)"),-0.045510298368172775)</f>
        <v>-0.04551029837</v>
      </c>
      <c r="P98" s="40"/>
      <c r="Q98" s="83">
        <f>AVERAGE(Q88, Q96)</f>
        <v>0.8708290364</v>
      </c>
      <c r="R98" s="40"/>
      <c r="S98" s="40"/>
      <c r="T98" s="44"/>
      <c r="U98" s="42"/>
      <c r="V98" s="41"/>
    </row>
    <row r="99" ht="15.75" customHeight="1">
      <c r="A99" s="64"/>
      <c r="E99" s="11"/>
      <c r="F99" s="11"/>
      <c r="G99" s="49"/>
      <c r="H99" s="11"/>
      <c r="I99" s="19"/>
      <c r="J99" s="19"/>
      <c r="L99" s="11"/>
      <c r="M99" s="23"/>
      <c r="N99" s="22"/>
      <c r="Q99" s="78"/>
      <c r="T99" s="50"/>
      <c r="U99" s="11"/>
      <c r="V99" s="19"/>
    </row>
    <row r="100" ht="15.75" customHeight="1">
      <c r="A100" s="6" t="s">
        <v>70</v>
      </c>
      <c r="B100" s="40"/>
      <c r="C100" s="40"/>
      <c r="D100" s="40"/>
      <c r="E100" s="42"/>
      <c r="F100" s="42"/>
      <c r="G100" s="43"/>
      <c r="H100" s="42">
        <f>SUM(H8,H15,H23,H33,H42,H50,H56,H66,H72,H79,H98)</f>
        <v>2160084.115</v>
      </c>
      <c r="I100" s="41">
        <f>H100/H121</f>
        <v>0.8103290509</v>
      </c>
      <c r="J100" s="41">
        <f>SUM(J8,J15,J23,J33,J42,J50,J56,J66,J72,J79,J98)</f>
        <v>0.81</v>
      </c>
      <c r="K100" s="40"/>
      <c r="L100" s="42">
        <f>SUM(L8,L15,L23,L33,L42,L50,L56,L66,L72,L79,L98)</f>
        <v>1412760.704</v>
      </c>
      <c r="M100" s="44">
        <f>AVERAGE(M8,M15,M23,M33,M42,M50,M56,M66,M72,M79,M98)</f>
        <v>44907.68701</v>
      </c>
      <c r="N100" s="45">
        <f>((H100-H118)/L100-1)</f>
        <v>0.426997587</v>
      </c>
      <c r="O100" s="40"/>
      <c r="P100" s="40"/>
      <c r="Q100" s="83">
        <f>IFERROR(__xludf.DUMMYFUNCTION("AVERAGE.WEIGHTED(Q8,I8,Q15,I15,Q23,I23,Q33,I33,Q42,I42,Q50,I50,Q56,I56,Q66,I66,Q72,I72,Q79,I79,Q98,I98)"),0.9803730069524024)</f>
        <v>0.980373007</v>
      </c>
      <c r="R100" s="40"/>
      <c r="S100" s="40"/>
      <c r="T100" s="44"/>
      <c r="U100" s="42"/>
      <c r="V100" s="41"/>
    </row>
    <row r="101" ht="15.75" customHeight="1">
      <c r="A101" s="104"/>
      <c r="E101" s="11"/>
      <c r="F101" s="11"/>
      <c r="G101" s="49"/>
      <c r="H101" s="11"/>
      <c r="I101" s="19"/>
      <c r="J101" s="19"/>
      <c r="L101" s="11"/>
      <c r="M101" s="50"/>
      <c r="N101" s="22"/>
      <c r="Q101" s="78"/>
      <c r="T101" s="50"/>
      <c r="U101" s="11"/>
      <c r="V101" s="19"/>
    </row>
    <row r="102" ht="15.75" customHeight="1">
      <c r="A102" s="6" t="s">
        <v>17</v>
      </c>
      <c r="B102" s="7"/>
      <c r="C102" s="7"/>
      <c r="D102" s="7"/>
      <c r="E102" s="9"/>
      <c r="F102" s="9"/>
      <c r="G102" s="10"/>
      <c r="H102" s="11"/>
      <c r="I102" s="8"/>
      <c r="J102" s="8"/>
      <c r="K102" s="7"/>
      <c r="L102" s="9"/>
      <c r="M102" s="12"/>
      <c r="N102" s="13"/>
      <c r="O102" s="7"/>
      <c r="P102" s="7"/>
      <c r="Q102" s="76"/>
      <c r="R102" s="7"/>
      <c r="S102" s="7"/>
      <c r="T102" s="12"/>
      <c r="U102" s="9"/>
      <c r="V102" s="8"/>
    </row>
    <row r="103" ht="15.75" customHeight="1">
      <c r="A103" s="17"/>
      <c r="B103" s="23" t="s">
        <v>23</v>
      </c>
      <c r="C103" s="23" t="s">
        <v>41</v>
      </c>
      <c r="E103" s="112"/>
      <c r="F103" s="85">
        <v>1066.26</v>
      </c>
      <c r="G103" s="49">
        <v>25.0</v>
      </c>
      <c r="H103" s="11">
        <f t="shared" ref="H103:H114" si="47">F103*G103</f>
        <v>26656.5</v>
      </c>
      <c r="I103" s="30">
        <f t="shared" ref="I103:I114" si="48">H103/$H$121</f>
        <v>0.009999858892</v>
      </c>
      <c r="J103" s="19">
        <v>0.015</v>
      </c>
      <c r="L103" s="11">
        <v>1092.5</v>
      </c>
      <c r="M103" s="50">
        <v>44823.0</v>
      </c>
      <c r="N103" s="134">
        <f t="shared" ref="N103:N104" si="49">((F103)/L103-1)</f>
        <v>-0.02401830664</v>
      </c>
      <c r="Q103" s="78"/>
      <c r="S103" s="23" t="s">
        <v>21</v>
      </c>
      <c r="T103" s="23"/>
      <c r="U103" s="11">
        <v>1000.0</v>
      </c>
      <c r="V103" s="19">
        <f t="shared" ref="V103:V110" si="50">IFERROR(F103/U103-1, "NA")</f>
        <v>0.06626</v>
      </c>
    </row>
    <row r="104" ht="15.75" customHeight="1">
      <c r="A104" s="17"/>
      <c r="B104" s="23" t="s">
        <v>24</v>
      </c>
      <c r="C104" s="23" t="s">
        <v>42</v>
      </c>
      <c r="E104" s="112"/>
      <c r="F104" s="85">
        <v>1008.34</v>
      </c>
      <c r="G104" s="49">
        <v>29.0</v>
      </c>
      <c r="H104" s="11">
        <f t="shared" si="47"/>
        <v>29241.86</v>
      </c>
      <c r="I104" s="30">
        <f t="shared" si="48"/>
        <v>0.01096972497</v>
      </c>
      <c r="J104" s="19">
        <v>0.015</v>
      </c>
      <c r="L104" s="11">
        <v>907.92</v>
      </c>
      <c r="M104" s="50">
        <v>44830.0</v>
      </c>
      <c r="N104" s="134">
        <f t="shared" si="49"/>
        <v>0.1106044585</v>
      </c>
      <c r="Q104" s="78"/>
      <c r="S104" s="23" t="s">
        <v>21</v>
      </c>
      <c r="T104" s="51">
        <v>44824.0</v>
      </c>
      <c r="U104" s="11">
        <v>1000.0</v>
      </c>
      <c r="V104" s="19">
        <f t="shared" si="50"/>
        <v>0.00834</v>
      </c>
    </row>
    <row r="105" ht="15.75" customHeight="1">
      <c r="A105" s="17"/>
      <c r="B105" s="23" t="s">
        <v>45</v>
      </c>
      <c r="C105" s="23" t="s">
        <v>46</v>
      </c>
      <c r="E105" s="112"/>
      <c r="F105" s="91">
        <v>1023.38</v>
      </c>
      <c r="G105" s="49">
        <v>43.0</v>
      </c>
      <c r="H105" s="11">
        <f t="shared" si="47"/>
        <v>44005.34</v>
      </c>
      <c r="I105" s="19">
        <f t="shared" si="48"/>
        <v>0.01650806334</v>
      </c>
      <c r="J105" s="19">
        <v>0.02</v>
      </c>
      <c r="L105" s="23">
        <v>948.61</v>
      </c>
      <c r="M105" s="50">
        <v>45261.0</v>
      </c>
      <c r="N105" s="22">
        <f t="shared" ref="N105:N110" si="51">(F105/L105-1)</f>
        <v>0.07882059013</v>
      </c>
      <c r="Q105" s="78"/>
      <c r="S105" s="23" t="s">
        <v>25</v>
      </c>
      <c r="T105" s="50">
        <v>45261.0</v>
      </c>
      <c r="U105" s="11">
        <v>1000.0</v>
      </c>
      <c r="V105" s="19">
        <f t="shared" si="50"/>
        <v>0.02338</v>
      </c>
    </row>
    <row r="106" ht="15.75" customHeight="1">
      <c r="A106" s="17"/>
      <c r="B106" s="23" t="s">
        <v>49</v>
      </c>
      <c r="C106" s="23" t="s">
        <v>50</v>
      </c>
      <c r="E106" s="112"/>
      <c r="F106" s="85">
        <v>1039.79</v>
      </c>
      <c r="G106" s="89">
        <v>47.0</v>
      </c>
      <c r="H106" s="11">
        <f t="shared" si="47"/>
        <v>48870.13</v>
      </c>
      <c r="I106" s="19">
        <f t="shared" si="48"/>
        <v>0.01833302962</v>
      </c>
      <c r="J106" s="19">
        <v>0.02</v>
      </c>
      <c r="L106" s="11">
        <v>1038.1</v>
      </c>
      <c r="M106" s="50">
        <v>45561.0</v>
      </c>
      <c r="N106" s="22">
        <f t="shared" si="51"/>
        <v>0.001627974184</v>
      </c>
      <c r="Q106" s="78"/>
      <c r="S106" s="23" t="s">
        <v>25</v>
      </c>
      <c r="T106" s="51">
        <v>45552.0</v>
      </c>
      <c r="U106" s="11">
        <v>1040.0</v>
      </c>
      <c r="V106" s="19">
        <f t="shared" si="50"/>
        <v>-0.0002019230769</v>
      </c>
    </row>
    <row r="107" ht="15.75" customHeight="1">
      <c r="A107" s="17"/>
      <c r="B107" s="23" t="s">
        <v>51</v>
      </c>
      <c r="C107" s="23" t="s">
        <v>52</v>
      </c>
      <c r="E107" s="112"/>
      <c r="F107" s="85">
        <v>1146.39</v>
      </c>
      <c r="G107" s="49">
        <v>43.0</v>
      </c>
      <c r="H107" s="11">
        <f t="shared" si="47"/>
        <v>49294.77</v>
      </c>
      <c r="I107" s="19">
        <f t="shared" si="48"/>
        <v>0.0184923281</v>
      </c>
      <c r="J107" s="19">
        <v>0.02</v>
      </c>
      <c r="L107" s="11">
        <v>1120.55</v>
      </c>
      <c r="M107" s="50">
        <v>45590.0</v>
      </c>
      <c r="N107" s="22">
        <f t="shared" si="51"/>
        <v>0.02306010441</v>
      </c>
      <c r="Q107" s="78"/>
      <c r="S107" s="23" t="s">
        <v>25</v>
      </c>
      <c r="T107" s="50">
        <v>45590.0</v>
      </c>
      <c r="U107" s="11">
        <v>1120.0</v>
      </c>
      <c r="V107" s="19">
        <f t="shared" si="50"/>
        <v>0.0235625</v>
      </c>
    </row>
    <row r="108" ht="15.75" customHeight="1">
      <c r="A108" s="17"/>
      <c r="B108" s="23" t="s">
        <v>53</v>
      </c>
      <c r="C108" s="23" t="s">
        <v>54</v>
      </c>
      <c r="E108" s="112"/>
      <c r="F108" s="85">
        <v>991.22</v>
      </c>
      <c r="G108" s="49">
        <v>25.0</v>
      </c>
      <c r="H108" s="11">
        <f t="shared" si="47"/>
        <v>24780.5</v>
      </c>
      <c r="I108" s="19">
        <f t="shared" si="48"/>
        <v>0.009296100511</v>
      </c>
      <c r="J108" s="19">
        <v>0.01</v>
      </c>
      <c r="L108" s="11">
        <v>966.6</v>
      </c>
      <c r="M108" s="50">
        <v>45611.0</v>
      </c>
      <c r="N108" s="22">
        <f t="shared" si="51"/>
        <v>0.02547072212</v>
      </c>
      <c r="Q108" s="78"/>
      <c r="S108" s="23" t="s">
        <v>31</v>
      </c>
      <c r="T108" s="50">
        <v>45610.0</v>
      </c>
      <c r="U108" s="11">
        <v>966.0</v>
      </c>
      <c r="V108" s="19">
        <f t="shared" si="50"/>
        <v>0.02610766046</v>
      </c>
    </row>
    <row r="109" ht="15.75" customHeight="1">
      <c r="A109" s="17"/>
      <c r="B109" s="23" t="s">
        <v>55</v>
      </c>
      <c r="C109" s="23" t="s">
        <v>56</v>
      </c>
      <c r="E109" s="112"/>
      <c r="F109" s="91">
        <v>1038.97</v>
      </c>
      <c r="G109" s="49">
        <v>33.0</v>
      </c>
      <c r="H109" s="11">
        <f t="shared" si="47"/>
        <v>34286.01</v>
      </c>
      <c r="I109" s="19">
        <f t="shared" si="48"/>
        <v>0.01286197595</v>
      </c>
      <c r="J109" s="19">
        <v>0.0125</v>
      </c>
      <c r="L109" s="23">
        <v>993.26</v>
      </c>
      <c r="M109" s="50">
        <v>45701.0</v>
      </c>
      <c r="N109" s="22">
        <f t="shared" si="51"/>
        <v>0.04602017599</v>
      </c>
      <c r="Q109" s="78"/>
      <c r="S109" s="23" t="s">
        <v>33</v>
      </c>
      <c r="T109" s="50">
        <v>45700.0</v>
      </c>
      <c r="U109" s="135">
        <v>1000.0</v>
      </c>
      <c r="V109" s="19">
        <f t="shared" si="50"/>
        <v>0.03897</v>
      </c>
    </row>
    <row r="110" ht="15.75" customHeight="1">
      <c r="A110" s="17"/>
      <c r="B110" s="23" t="s">
        <v>57</v>
      </c>
      <c r="C110" s="23" t="s">
        <v>58</v>
      </c>
      <c r="E110" s="112"/>
      <c r="F110" s="85">
        <v>1003.57</v>
      </c>
      <c r="G110" s="49">
        <v>24.0</v>
      </c>
      <c r="H110" s="11">
        <f t="shared" si="47"/>
        <v>24085.68</v>
      </c>
      <c r="I110" s="19">
        <f t="shared" si="48"/>
        <v>0.009035447314</v>
      </c>
      <c r="J110" s="19">
        <v>0.01</v>
      </c>
      <c r="L110" s="11">
        <v>1003.1</v>
      </c>
      <c r="M110" s="50">
        <v>45748.0</v>
      </c>
      <c r="N110" s="22">
        <f t="shared" si="51"/>
        <v>0.0004685475027</v>
      </c>
      <c r="Q110" s="78"/>
      <c r="S110" s="23" t="s">
        <v>34</v>
      </c>
      <c r="T110" s="50">
        <v>45741.0</v>
      </c>
      <c r="U110" s="23">
        <v>1000.0</v>
      </c>
      <c r="V110" s="19">
        <f t="shared" si="50"/>
        <v>0.00357</v>
      </c>
    </row>
    <row r="111" ht="15.75" customHeight="1">
      <c r="A111" s="136"/>
      <c r="B111" s="137" t="s">
        <v>22</v>
      </c>
      <c r="C111" s="137" t="s">
        <v>40</v>
      </c>
      <c r="D111" s="138"/>
      <c r="E111" s="139"/>
      <c r="F111" s="140">
        <v>939.38</v>
      </c>
      <c r="G111" s="141">
        <v>25.0</v>
      </c>
      <c r="H111" s="142">
        <f t="shared" si="47"/>
        <v>23484.5</v>
      </c>
      <c r="I111" s="143">
        <f t="shared" si="48"/>
        <v>0.008809922013</v>
      </c>
      <c r="J111" s="143">
        <v>0.015</v>
      </c>
      <c r="K111" s="138"/>
      <c r="L111" s="142">
        <v>1007.19</v>
      </c>
      <c r="M111" s="144">
        <v>43864.0</v>
      </c>
      <c r="N111" s="145">
        <f t="shared" ref="N111:N113" si="52">(F111/L111-1)</f>
        <v>-0.06732592659</v>
      </c>
      <c r="O111" s="138"/>
      <c r="P111" s="138"/>
      <c r="Q111" s="146"/>
      <c r="R111" s="138"/>
      <c r="S111" s="137" t="s">
        <v>19</v>
      </c>
      <c r="T111" s="144">
        <v>44292.0</v>
      </c>
      <c r="U111" s="142">
        <v>1000.0</v>
      </c>
      <c r="V111" s="145">
        <f t="shared" ref="V111:V113" si="53">IFERROR(F111/U111-1, "NA")</f>
        <v>-0.06062</v>
      </c>
    </row>
    <row r="112" ht="15.75" customHeight="1">
      <c r="A112" s="136"/>
      <c r="B112" s="137" t="s">
        <v>43</v>
      </c>
      <c r="C112" s="137" t="s">
        <v>44</v>
      </c>
      <c r="D112" s="138"/>
      <c r="E112" s="139"/>
      <c r="F112" s="147">
        <v>948.12</v>
      </c>
      <c r="G112" s="141">
        <v>33.0</v>
      </c>
      <c r="H112" s="142">
        <f t="shared" si="47"/>
        <v>31287.96</v>
      </c>
      <c r="I112" s="143">
        <f t="shared" si="48"/>
        <v>0.01173729428</v>
      </c>
      <c r="J112" s="143">
        <v>0.015</v>
      </c>
      <c r="K112" s="138"/>
      <c r="L112" s="148">
        <v>854.34</v>
      </c>
      <c r="M112" s="144">
        <v>45230.0</v>
      </c>
      <c r="N112" s="149">
        <f t="shared" si="52"/>
        <v>0.1097689444</v>
      </c>
      <c r="O112" s="138"/>
      <c r="P112" s="138"/>
      <c r="Q112" s="146"/>
      <c r="R112" s="138"/>
      <c r="S112" s="137" t="s">
        <v>21</v>
      </c>
      <c r="T112" s="144">
        <v>45230.0</v>
      </c>
      <c r="U112" s="142">
        <v>1000.0</v>
      </c>
      <c r="V112" s="145">
        <f t="shared" si="53"/>
        <v>-0.05188</v>
      </c>
    </row>
    <row r="113" ht="15.75" customHeight="1">
      <c r="A113" s="136"/>
      <c r="B113" s="91" t="s">
        <v>245</v>
      </c>
      <c r="C113" s="150" t="s">
        <v>246</v>
      </c>
      <c r="D113" s="138"/>
      <c r="E113" s="139"/>
      <c r="F113" s="147">
        <v>1021.29</v>
      </c>
      <c r="G113" s="151">
        <v>25.0</v>
      </c>
      <c r="H113" s="142">
        <f t="shared" si="47"/>
        <v>25532.25</v>
      </c>
      <c r="I113" s="143">
        <f t="shared" si="48"/>
        <v>0.009578110299</v>
      </c>
      <c r="J113" s="152">
        <v>0.01</v>
      </c>
      <c r="K113" s="138"/>
      <c r="L113" s="147">
        <v>1020.74</v>
      </c>
      <c r="M113" s="153">
        <v>45929.0</v>
      </c>
      <c r="N113" s="149">
        <f t="shared" si="52"/>
        <v>0.0005388247742</v>
      </c>
      <c r="O113" s="138"/>
      <c r="P113" s="138"/>
      <c r="Q113" s="146"/>
      <c r="R113" s="138"/>
      <c r="S113" s="150" t="s">
        <v>31</v>
      </c>
      <c r="T113" s="153">
        <v>45923.0</v>
      </c>
      <c r="U113" s="142">
        <v>1000.0</v>
      </c>
      <c r="V113" s="145">
        <f t="shared" si="53"/>
        <v>0.02129</v>
      </c>
    </row>
    <row r="114" ht="15.75" customHeight="1">
      <c r="A114" s="17"/>
      <c r="B114" s="23" t="s">
        <v>29</v>
      </c>
      <c r="C114" s="23" t="s">
        <v>59</v>
      </c>
      <c r="E114" s="112"/>
      <c r="F114" s="11">
        <f>IFERROR(__xludf.DUMMYFUNCTION("GOOGLEFINANCE(B114)"),101.07)</f>
        <v>101.07</v>
      </c>
      <c r="G114" s="49">
        <v>0.0</v>
      </c>
      <c r="H114" s="11">
        <f t="shared" si="47"/>
        <v>0</v>
      </c>
      <c r="I114" s="19">
        <f t="shared" si="48"/>
        <v>0</v>
      </c>
      <c r="J114" s="19">
        <f>I114</f>
        <v>0</v>
      </c>
      <c r="L114" s="11">
        <v>105.59</v>
      </c>
      <c r="M114" s="50">
        <v>44113.0</v>
      </c>
      <c r="N114" s="22">
        <f>(F114/L114-1)</f>
        <v>-0.042807084</v>
      </c>
      <c r="Q114" s="78"/>
      <c r="S114" s="23" t="s">
        <v>36</v>
      </c>
      <c r="T114" s="23" t="s">
        <v>36</v>
      </c>
      <c r="U114" s="23" t="s">
        <v>36</v>
      </c>
      <c r="V114" s="19" t="str">
        <f>IFERROR(F114/U114-1, "NA")</f>
        <v>NA</v>
      </c>
    </row>
    <row r="115" ht="15.75" customHeight="1">
      <c r="B115" s="23" t="s">
        <v>30</v>
      </c>
      <c r="C115" s="23"/>
      <c r="E115" s="112"/>
      <c r="F115" s="23"/>
      <c r="G115" s="49"/>
      <c r="H115" s="85">
        <f>I115*H121</f>
        <v>11670.76609</v>
      </c>
      <c r="I115" s="19">
        <f>J116-sum(I103:I113)</f>
        <v>0.004378144696</v>
      </c>
      <c r="J115" s="19"/>
      <c r="L115" s="23"/>
      <c r="M115" s="51"/>
      <c r="N115" s="22"/>
      <c r="Q115" s="39"/>
      <c r="S115" s="23"/>
      <c r="T115" s="50"/>
      <c r="U115" s="23"/>
      <c r="V115" s="23"/>
    </row>
    <row r="116" ht="15.75" customHeight="1">
      <c r="A116" s="6" t="s">
        <v>32</v>
      </c>
      <c r="B116" s="40"/>
      <c r="C116" s="40"/>
      <c r="D116" s="40"/>
      <c r="E116" s="42"/>
      <c r="F116" s="42"/>
      <c r="G116" s="43"/>
      <c r="H116" s="154">
        <v>381657.0</v>
      </c>
      <c r="I116" s="41">
        <f>sum(I103:I115)</f>
        <v>0.14</v>
      </c>
      <c r="J116" s="81">
        <v>0.14</v>
      </c>
      <c r="K116" s="40"/>
      <c r="L116" s="42">
        <f>SUMPRODUCT(G103:G114*L103:L114)</f>
        <v>351315.21</v>
      </c>
      <c r="M116" s="44">
        <f>AVERAGE(M103:M114)</f>
        <v>45188.41667</v>
      </c>
      <c r="N116" s="45">
        <f>((H116-H115)/L116-1)</f>
        <v>0.05314607331</v>
      </c>
      <c r="O116" s="40"/>
      <c r="P116" s="40"/>
      <c r="Q116" s="83"/>
      <c r="R116" s="40"/>
      <c r="S116" s="40"/>
      <c r="T116" s="44"/>
      <c r="U116" s="42"/>
      <c r="V116" s="41"/>
    </row>
    <row r="117" ht="15.75" customHeight="1">
      <c r="A117" s="104"/>
      <c r="E117" s="11"/>
      <c r="F117" s="11"/>
      <c r="G117" s="49"/>
      <c r="H117" s="11"/>
      <c r="I117" s="155"/>
      <c r="J117" s="19"/>
      <c r="L117" s="11"/>
      <c r="M117" s="50"/>
      <c r="N117" s="22"/>
      <c r="Q117" s="78"/>
      <c r="T117" s="50"/>
      <c r="U117" s="11"/>
      <c r="V117" s="19"/>
    </row>
    <row r="118" ht="15.75" customHeight="1">
      <c r="A118" s="156" t="s">
        <v>66</v>
      </c>
      <c r="B118" s="157"/>
      <c r="C118" s="157"/>
      <c r="D118" s="157"/>
      <c r="E118" s="158"/>
      <c r="F118" s="158"/>
      <c r="G118" s="158"/>
      <c r="H118" s="154">
        <v>144078.0</v>
      </c>
      <c r="I118" s="41">
        <f>H118/H121</f>
        <v>0.05404909382</v>
      </c>
      <c r="J118" s="41">
        <v>0.05</v>
      </c>
      <c r="K118" s="157"/>
      <c r="L118" s="158"/>
      <c r="M118" s="159"/>
      <c r="N118" s="160"/>
      <c r="O118" s="157"/>
      <c r="P118" s="157"/>
      <c r="Q118" s="161"/>
      <c r="R118" s="157"/>
      <c r="S118" s="157"/>
      <c r="T118" s="159"/>
      <c r="U118" s="158"/>
      <c r="V118" s="162"/>
    </row>
    <row r="119" ht="15.75" customHeight="1">
      <c r="A119" s="163"/>
      <c r="E119" s="11"/>
      <c r="F119" s="11"/>
      <c r="G119" s="49"/>
      <c r="H119" s="11"/>
      <c r="I119" s="19"/>
      <c r="J119" s="19"/>
      <c r="L119" s="11"/>
      <c r="M119" s="50"/>
      <c r="N119" s="22"/>
      <c r="Q119" s="78"/>
      <c r="T119" s="50"/>
      <c r="U119" s="11"/>
      <c r="V119" s="19"/>
    </row>
    <row r="120" ht="15.75" customHeight="1">
      <c r="A120" s="163"/>
      <c r="E120" s="11"/>
      <c r="F120" s="11"/>
      <c r="G120" s="49"/>
      <c r="H120" s="11"/>
      <c r="I120" s="155"/>
      <c r="J120" s="19"/>
      <c r="L120" s="11"/>
      <c r="M120" s="50"/>
      <c r="N120" s="22"/>
      <c r="Q120" s="78"/>
      <c r="T120" s="50"/>
      <c r="U120" s="11"/>
      <c r="V120" s="19"/>
    </row>
    <row r="121" ht="15.75" customHeight="1">
      <c r="A121" s="6" t="s">
        <v>247</v>
      </c>
      <c r="B121" s="40"/>
      <c r="C121" s="40"/>
      <c r="D121" s="40"/>
      <c r="E121" s="42"/>
      <c r="F121" s="42"/>
      <c r="G121" s="43"/>
      <c r="H121" s="42">
        <f>SUM(H100,H103:H113,H118)</f>
        <v>2665687.615</v>
      </c>
      <c r="I121" s="41">
        <f>SUM(I100,I116-I115,I118)</f>
        <v>1</v>
      </c>
      <c r="J121" s="41">
        <f>SUM(J100,J116,J118)</f>
        <v>1</v>
      </c>
      <c r="K121" s="40"/>
      <c r="L121" s="42"/>
      <c r="M121" s="44"/>
      <c r="N121" s="45"/>
      <c r="O121" s="40"/>
      <c r="P121" s="40"/>
      <c r="Q121" s="83"/>
      <c r="R121" s="40"/>
      <c r="S121" s="40"/>
      <c r="T121" s="44"/>
      <c r="U121" s="42"/>
      <c r="V121" s="41"/>
    </row>
    <row r="122" ht="15.75" customHeight="1">
      <c r="A122" s="163"/>
      <c r="E122" s="11"/>
      <c r="F122" s="11"/>
      <c r="G122" s="49"/>
      <c r="H122" s="9"/>
      <c r="I122" s="19"/>
      <c r="J122" s="19"/>
      <c r="L122" s="11"/>
      <c r="M122" s="50"/>
      <c r="N122" s="22"/>
      <c r="Q122" s="78"/>
      <c r="T122" s="50"/>
      <c r="U122" s="11"/>
      <c r="V122" s="19"/>
    </row>
    <row r="123" ht="15.75" customHeight="1">
      <c r="A123" s="104"/>
      <c r="E123" s="11"/>
      <c r="F123" s="11"/>
      <c r="G123" s="49"/>
      <c r="I123" s="19"/>
      <c r="J123" s="19"/>
      <c r="L123" s="11"/>
      <c r="M123" s="50"/>
      <c r="N123" s="22"/>
      <c r="Q123" s="78"/>
      <c r="T123" s="50"/>
      <c r="U123" s="11"/>
      <c r="V123" s="19"/>
    </row>
    <row r="124" ht="15.75" customHeight="1">
      <c r="A124" s="104"/>
      <c r="E124" s="11"/>
      <c r="F124" s="11"/>
      <c r="G124" s="49"/>
      <c r="H124" s="11"/>
      <c r="I124" s="23"/>
      <c r="J124" s="19"/>
      <c r="L124" s="11"/>
      <c r="M124" s="50"/>
      <c r="N124" s="22"/>
      <c r="Q124" s="78"/>
      <c r="T124" s="50"/>
      <c r="U124" s="11"/>
      <c r="V124" s="19"/>
    </row>
    <row r="125" ht="15.75" customHeight="1">
      <c r="A125" s="104"/>
      <c r="E125" s="11"/>
      <c r="F125" s="11"/>
      <c r="G125" s="49"/>
      <c r="H125" s="11"/>
      <c r="I125" s="71"/>
      <c r="J125" s="23"/>
      <c r="L125" s="11"/>
      <c r="M125" s="50"/>
      <c r="N125" s="22"/>
      <c r="Q125" s="78"/>
      <c r="T125" s="50"/>
      <c r="U125" s="11"/>
      <c r="V125" s="19"/>
    </row>
    <row r="126" ht="15.75" customHeight="1">
      <c r="A126" s="104"/>
      <c r="E126" s="11"/>
      <c r="F126" s="11"/>
      <c r="G126" s="49"/>
      <c r="H126" s="11"/>
      <c r="I126" s="23"/>
      <c r="J126" s="19"/>
      <c r="L126" s="11"/>
      <c r="M126" s="50"/>
      <c r="N126" s="22"/>
      <c r="Q126" s="78"/>
      <c r="T126" s="50"/>
      <c r="U126" s="11"/>
      <c r="V126" s="19"/>
    </row>
    <row r="127" ht="15.75" customHeight="1">
      <c r="A127" s="104"/>
      <c r="E127" s="11"/>
      <c r="F127" s="11"/>
      <c r="G127" s="49"/>
      <c r="H127" s="19"/>
      <c r="I127" s="19"/>
      <c r="J127" s="19"/>
      <c r="L127" s="11"/>
      <c r="M127" s="50"/>
      <c r="N127" s="22"/>
      <c r="Q127" s="78"/>
      <c r="T127" s="50"/>
      <c r="U127" s="11"/>
      <c r="V127" s="19"/>
    </row>
    <row r="128" ht="15.75" customHeight="1">
      <c r="A128" s="104"/>
      <c r="E128" s="11"/>
      <c r="F128" s="11"/>
      <c r="G128" s="49"/>
      <c r="H128" s="11"/>
      <c r="I128" s="19"/>
      <c r="J128" s="19"/>
      <c r="L128" s="11"/>
      <c r="M128" s="50"/>
      <c r="N128" s="22"/>
      <c r="Q128" s="78"/>
      <c r="T128" s="50"/>
      <c r="U128" s="11"/>
      <c r="V128" s="19"/>
    </row>
    <row r="129" ht="15.75" customHeight="1">
      <c r="A129" s="104"/>
      <c r="E129" s="11"/>
      <c r="F129" s="11"/>
      <c r="G129" s="49"/>
      <c r="H129" s="11"/>
      <c r="I129" s="19"/>
      <c r="J129" s="19"/>
      <c r="L129" s="11"/>
      <c r="M129" s="50"/>
      <c r="N129" s="22"/>
      <c r="Q129" s="78"/>
      <c r="T129" s="50"/>
      <c r="U129" s="11"/>
      <c r="V129" s="19"/>
    </row>
    <row r="130" ht="15.75" customHeight="1">
      <c r="A130" s="104"/>
      <c r="E130" s="11"/>
      <c r="F130" s="11"/>
      <c r="G130" s="49"/>
      <c r="H130" s="11"/>
      <c r="I130" s="19"/>
      <c r="J130" s="19"/>
      <c r="L130" s="11"/>
      <c r="M130" s="50"/>
      <c r="N130" s="22"/>
      <c r="Q130" s="78"/>
      <c r="T130" s="50"/>
      <c r="U130" s="11"/>
      <c r="V130" s="19"/>
    </row>
    <row r="131" ht="15.75" customHeight="1">
      <c r="A131" s="104"/>
      <c r="E131" s="11"/>
      <c r="F131" s="11"/>
      <c r="G131" s="49"/>
      <c r="H131" s="11"/>
      <c r="I131" s="19"/>
      <c r="J131" s="19"/>
      <c r="L131" s="11"/>
      <c r="M131" s="50"/>
      <c r="N131" s="22"/>
      <c r="Q131" s="78"/>
      <c r="T131" s="50"/>
      <c r="U131" s="11"/>
      <c r="V131" s="19"/>
    </row>
    <row r="132" ht="15.75" customHeight="1">
      <c r="A132" s="104"/>
      <c r="E132" s="11"/>
      <c r="F132" s="11"/>
      <c r="G132" s="49"/>
      <c r="H132" s="11"/>
      <c r="I132" s="19"/>
      <c r="J132" s="19"/>
      <c r="L132" s="11"/>
      <c r="M132" s="50"/>
      <c r="N132" s="22"/>
      <c r="Q132" s="78"/>
      <c r="T132" s="50"/>
      <c r="U132" s="11"/>
      <c r="V132" s="19"/>
    </row>
    <row r="133" ht="15.75" customHeight="1">
      <c r="A133" s="104"/>
      <c r="E133" s="11"/>
      <c r="F133" s="11"/>
      <c r="G133" s="49"/>
      <c r="H133" s="11"/>
      <c r="I133" s="19"/>
      <c r="J133" s="19"/>
      <c r="L133" s="11"/>
      <c r="M133" s="50"/>
      <c r="N133" s="22"/>
      <c r="Q133" s="78"/>
      <c r="T133" s="50"/>
      <c r="U133" s="11"/>
      <c r="V133" s="19"/>
    </row>
    <row r="134" ht="15.75" customHeight="1">
      <c r="A134" s="104"/>
      <c r="E134" s="11"/>
      <c r="F134" s="11"/>
      <c r="G134" s="49"/>
      <c r="H134" s="11"/>
      <c r="I134" s="19"/>
      <c r="J134" s="19"/>
      <c r="L134" s="11"/>
      <c r="M134" s="50"/>
      <c r="N134" s="22"/>
      <c r="Q134" s="78"/>
      <c r="T134" s="50"/>
      <c r="U134" s="11"/>
      <c r="V134" s="19"/>
    </row>
    <row r="135" ht="15.75" customHeight="1">
      <c r="A135" s="104"/>
      <c r="E135" s="11"/>
      <c r="F135" s="11"/>
      <c r="G135" s="49"/>
      <c r="H135" s="11"/>
      <c r="I135" s="19"/>
      <c r="J135" s="19"/>
      <c r="L135" s="11"/>
      <c r="M135" s="50"/>
      <c r="N135" s="22"/>
      <c r="Q135" s="78"/>
      <c r="T135" s="50"/>
      <c r="U135" s="11"/>
      <c r="V135" s="19"/>
    </row>
    <row r="136" ht="15.75" customHeight="1">
      <c r="A136" s="104"/>
      <c r="E136" s="11"/>
      <c r="F136" s="11"/>
      <c r="G136" s="49"/>
      <c r="H136" s="11"/>
      <c r="I136" s="19"/>
      <c r="J136" s="19"/>
      <c r="L136" s="11"/>
      <c r="M136" s="50"/>
      <c r="N136" s="22"/>
      <c r="Q136" s="78"/>
      <c r="T136" s="50"/>
      <c r="U136" s="11"/>
      <c r="V136" s="19"/>
    </row>
    <row r="137" ht="15.75" customHeight="1">
      <c r="A137" s="104"/>
      <c r="E137" s="11"/>
      <c r="F137" s="11"/>
      <c r="G137" s="49"/>
      <c r="H137" s="11"/>
      <c r="I137" s="19"/>
      <c r="J137" s="19"/>
      <c r="L137" s="11"/>
      <c r="M137" s="50"/>
      <c r="N137" s="22"/>
      <c r="Q137" s="78"/>
      <c r="T137" s="50"/>
      <c r="U137" s="11"/>
      <c r="V137" s="19"/>
    </row>
    <row r="138" ht="15.75" customHeight="1">
      <c r="A138" s="104"/>
      <c r="E138" s="11"/>
      <c r="F138" s="11"/>
      <c r="G138" s="49"/>
      <c r="H138" s="11"/>
      <c r="I138" s="19"/>
      <c r="J138" s="19"/>
      <c r="L138" s="11"/>
      <c r="M138" s="50"/>
      <c r="N138" s="22"/>
      <c r="Q138" s="78"/>
      <c r="T138" s="50"/>
      <c r="U138" s="11"/>
      <c r="V138" s="19"/>
    </row>
    <row r="139" ht="15.75" customHeight="1">
      <c r="A139" s="104"/>
      <c r="E139" s="11"/>
      <c r="F139" s="11"/>
      <c r="G139" s="49"/>
      <c r="H139" s="11"/>
      <c r="I139" s="19"/>
      <c r="J139" s="19"/>
      <c r="L139" s="11"/>
      <c r="M139" s="50"/>
      <c r="N139" s="22"/>
      <c r="Q139" s="78"/>
      <c r="T139" s="50"/>
      <c r="U139" s="11"/>
      <c r="V139" s="19"/>
    </row>
    <row r="140" ht="15.75" customHeight="1">
      <c r="A140" s="104"/>
      <c r="E140" s="11"/>
      <c r="F140" s="11"/>
      <c r="G140" s="49"/>
      <c r="H140" s="11"/>
      <c r="I140" s="19"/>
      <c r="J140" s="19"/>
      <c r="L140" s="11"/>
      <c r="M140" s="50"/>
      <c r="N140" s="22"/>
      <c r="Q140" s="78"/>
      <c r="T140" s="50"/>
      <c r="U140" s="11"/>
      <c r="V140" s="19"/>
    </row>
    <row r="141" ht="15.75" customHeight="1">
      <c r="A141" s="104"/>
      <c r="E141" s="11"/>
      <c r="F141" s="11"/>
      <c r="G141" s="49"/>
      <c r="H141" s="11"/>
      <c r="I141" s="19"/>
      <c r="J141" s="19"/>
      <c r="L141" s="11"/>
      <c r="M141" s="50"/>
      <c r="N141" s="22"/>
      <c r="Q141" s="78"/>
      <c r="T141" s="50"/>
      <c r="U141" s="11"/>
      <c r="V141" s="19"/>
    </row>
    <row r="142" ht="15.75" customHeight="1">
      <c r="A142" s="104"/>
      <c r="E142" s="11"/>
      <c r="F142" s="11"/>
      <c r="G142" s="49"/>
      <c r="H142" s="11"/>
      <c r="I142" s="19"/>
      <c r="J142" s="19"/>
      <c r="L142" s="11"/>
      <c r="M142" s="50"/>
      <c r="N142" s="22"/>
      <c r="Q142" s="78"/>
      <c r="T142" s="50"/>
      <c r="U142" s="11"/>
      <c r="V142" s="19"/>
    </row>
    <row r="143" ht="15.75" customHeight="1">
      <c r="A143" s="104"/>
      <c r="E143" s="11"/>
      <c r="F143" s="11"/>
      <c r="G143" s="49"/>
      <c r="H143" s="11"/>
      <c r="I143" s="19"/>
      <c r="J143" s="19"/>
      <c r="L143" s="11"/>
      <c r="M143" s="50"/>
      <c r="N143" s="22"/>
      <c r="Q143" s="78"/>
      <c r="T143" s="50"/>
      <c r="U143" s="11"/>
      <c r="V143" s="19"/>
    </row>
    <row r="144" ht="15.75" customHeight="1">
      <c r="A144" s="104"/>
      <c r="E144" s="11"/>
      <c r="F144" s="11"/>
      <c r="G144" s="49"/>
      <c r="H144" s="11"/>
      <c r="I144" s="19"/>
      <c r="J144" s="19"/>
      <c r="L144" s="11"/>
      <c r="M144" s="50"/>
      <c r="N144" s="22"/>
      <c r="Q144" s="78"/>
      <c r="T144" s="50"/>
      <c r="U144" s="11"/>
      <c r="V144" s="19"/>
    </row>
    <row r="145" ht="15.75" customHeight="1">
      <c r="A145" s="104"/>
      <c r="E145" s="11"/>
      <c r="F145" s="11"/>
      <c r="G145" s="49"/>
      <c r="H145" s="11"/>
      <c r="I145" s="19"/>
      <c r="J145" s="19"/>
      <c r="L145" s="11"/>
      <c r="M145" s="50"/>
      <c r="N145" s="22"/>
      <c r="Q145" s="78"/>
      <c r="T145" s="50"/>
      <c r="U145" s="11"/>
      <c r="V145" s="19"/>
    </row>
    <row r="146" ht="15.75" customHeight="1">
      <c r="A146" s="104"/>
      <c r="E146" s="11"/>
      <c r="F146" s="11"/>
      <c r="G146" s="49"/>
      <c r="H146" s="11"/>
      <c r="I146" s="19"/>
      <c r="J146" s="19"/>
      <c r="L146" s="11"/>
      <c r="M146" s="50"/>
      <c r="N146" s="22"/>
      <c r="Q146" s="78"/>
      <c r="T146" s="50"/>
      <c r="U146" s="11"/>
      <c r="V146" s="19"/>
    </row>
    <row r="147" ht="15.75" customHeight="1">
      <c r="A147" s="104"/>
      <c r="E147" s="11"/>
      <c r="F147" s="11"/>
      <c r="G147" s="49"/>
      <c r="H147" s="11"/>
      <c r="I147" s="19"/>
      <c r="J147" s="19"/>
      <c r="L147" s="11"/>
      <c r="M147" s="50"/>
      <c r="N147" s="22"/>
      <c r="Q147" s="78"/>
      <c r="T147" s="50"/>
      <c r="U147" s="11"/>
      <c r="V147" s="19"/>
    </row>
    <row r="148" ht="15.75" customHeight="1">
      <c r="A148" s="104"/>
      <c r="E148" s="11"/>
      <c r="F148" s="11"/>
      <c r="G148" s="49"/>
      <c r="H148" s="11"/>
      <c r="I148" s="19"/>
      <c r="J148" s="19"/>
      <c r="L148" s="11"/>
      <c r="M148" s="50"/>
      <c r="N148" s="22"/>
      <c r="Q148" s="78"/>
      <c r="T148" s="50"/>
      <c r="U148" s="11"/>
      <c r="V148" s="19"/>
    </row>
    <row r="149" ht="15.75" customHeight="1">
      <c r="A149" s="104"/>
      <c r="E149" s="11"/>
      <c r="F149" s="11"/>
      <c r="G149" s="49"/>
      <c r="H149" s="11"/>
      <c r="I149" s="19"/>
      <c r="J149" s="19"/>
      <c r="L149" s="11"/>
      <c r="M149" s="50"/>
      <c r="N149" s="22"/>
      <c r="Q149" s="78"/>
      <c r="T149" s="50"/>
      <c r="U149" s="11"/>
      <c r="V149" s="19"/>
    </row>
    <row r="150" ht="15.75" customHeight="1">
      <c r="A150" s="104"/>
      <c r="E150" s="11"/>
      <c r="F150" s="11"/>
      <c r="G150" s="49"/>
      <c r="H150" s="11"/>
      <c r="I150" s="19"/>
      <c r="J150" s="19"/>
      <c r="L150" s="11"/>
      <c r="M150" s="50"/>
      <c r="N150" s="22"/>
      <c r="Q150" s="78"/>
      <c r="T150" s="50"/>
      <c r="U150" s="11"/>
      <c r="V150" s="19"/>
    </row>
    <row r="151" ht="15.75" customHeight="1">
      <c r="A151" s="104"/>
      <c r="E151" s="11"/>
      <c r="F151" s="11"/>
      <c r="G151" s="49"/>
      <c r="H151" s="11"/>
      <c r="I151" s="19"/>
      <c r="J151" s="19"/>
      <c r="L151" s="11"/>
      <c r="M151" s="50"/>
      <c r="N151" s="22"/>
      <c r="Q151" s="78"/>
      <c r="T151" s="50"/>
      <c r="U151" s="11"/>
      <c r="V151" s="19"/>
    </row>
    <row r="152" ht="15.75" customHeight="1">
      <c r="A152" s="104"/>
      <c r="E152" s="11"/>
      <c r="F152" s="11"/>
      <c r="G152" s="49"/>
      <c r="H152" s="11"/>
      <c r="I152" s="19"/>
      <c r="J152" s="19"/>
      <c r="L152" s="11"/>
      <c r="M152" s="50"/>
      <c r="N152" s="22"/>
      <c r="Q152" s="78"/>
      <c r="T152" s="50"/>
      <c r="U152" s="11"/>
      <c r="V152" s="19"/>
    </row>
    <row r="153" ht="15.75" customHeight="1">
      <c r="A153" s="104"/>
      <c r="E153" s="11"/>
      <c r="F153" s="11"/>
      <c r="G153" s="49"/>
      <c r="H153" s="11"/>
      <c r="I153" s="19"/>
      <c r="J153" s="19"/>
      <c r="L153" s="11"/>
      <c r="M153" s="50"/>
      <c r="N153" s="22"/>
      <c r="Q153" s="78"/>
      <c r="T153" s="50"/>
      <c r="U153" s="11"/>
      <c r="V153" s="19"/>
    </row>
    <row r="154" ht="15.75" customHeight="1">
      <c r="A154" s="104"/>
      <c r="E154" s="11"/>
      <c r="F154" s="11"/>
      <c r="G154" s="49"/>
      <c r="H154" s="11"/>
      <c r="I154" s="19"/>
      <c r="J154" s="19"/>
      <c r="L154" s="11"/>
      <c r="M154" s="50"/>
      <c r="N154" s="22"/>
      <c r="Q154" s="78"/>
      <c r="T154" s="50"/>
      <c r="U154" s="11"/>
      <c r="V154" s="19"/>
    </row>
    <row r="155" ht="15.75" customHeight="1">
      <c r="A155" s="104"/>
      <c r="E155" s="11"/>
      <c r="F155" s="11"/>
      <c r="G155" s="49"/>
      <c r="H155" s="11"/>
      <c r="I155" s="19"/>
      <c r="J155" s="19"/>
      <c r="L155" s="11"/>
      <c r="M155" s="50"/>
      <c r="N155" s="22"/>
      <c r="Q155" s="78"/>
      <c r="T155" s="50"/>
      <c r="U155" s="11"/>
      <c r="V155" s="19"/>
    </row>
    <row r="156" ht="15.75" customHeight="1">
      <c r="A156" s="104"/>
      <c r="E156" s="11"/>
      <c r="F156" s="11"/>
      <c r="G156" s="49"/>
      <c r="H156" s="11"/>
      <c r="I156" s="19"/>
      <c r="J156" s="19"/>
      <c r="L156" s="11"/>
      <c r="M156" s="50"/>
      <c r="N156" s="22"/>
      <c r="Q156" s="78"/>
      <c r="T156" s="50"/>
      <c r="U156" s="11"/>
      <c r="V156" s="19"/>
    </row>
    <row r="157" ht="15.75" customHeight="1">
      <c r="A157" s="104"/>
      <c r="E157" s="11"/>
      <c r="F157" s="11"/>
      <c r="G157" s="49"/>
      <c r="H157" s="11"/>
      <c r="I157" s="19"/>
      <c r="J157" s="19"/>
      <c r="L157" s="11"/>
      <c r="M157" s="50"/>
      <c r="N157" s="22"/>
      <c r="Q157" s="78"/>
      <c r="T157" s="50"/>
      <c r="U157" s="11"/>
      <c r="V157" s="19"/>
    </row>
    <row r="158" ht="15.75" customHeight="1">
      <c r="A158" s="104"/>
      <c r="E158" s="11"/>
      <c r="F158" s="11"/>
      <c r="G158" s="49"/>
      <c r="H158" s="11"/>
      <c r="I158" s="19"/>
      <c r="J158" s="19"/>
      <c r="L158" s="11"/>
      <c r="M158" s="50"/>
      <c r="N158" s="22"/>
      <c r="Q158" s="78"/>
      <c r="T158" s="50"/>
      <c r="U158" s="11"/>
      <c r="V158" s="19"/>
    </row>
    <row r="159" ht="15.75" customHeight="1">
      <c r="A159" s="104"/>
      <c r="E159" s="11"/>
      <c r="F159" s="11"/>
      <c r="G159" s="49"/>
      <c r="H159" s="11"/>
      <c r="I159" s="19"/>
      <c r="J159" s="19"/>
      <c r="L159" s="11"/>
      <c r="M159" s="50"/>
      <c r="N159" s="22"/>
      <c r="Q159" s="78"/>
      <c r="T159" s="50"/>
      <c r="U159" s="11"/>
      <c r="V159" s="19"/>
    </row>
    <row r="160" ht="15.75" customHeight="1">
      <c r="A160" s="104"/>
      <c r="E160" s="11"/>
      <c r="F160" s="11"/>
      <c r="G160" s="49"/>
      <c r="H160" s="11"/>
      <c r="I160" s="19"/>
      <c r="J160" s="19"/>
      <c r="L160" s="11"/>
      <c r="M160" s="50"/>
      <c r="N160" s="22"/>
      <c r="Q160" s="78"/>
      <c r="T160" s="50"/>
      <c r="U160" s="11"/>
      <c r="V160" s="19"/>
    </row>
    <row r="161" ht="15.75" customHeight="1">
      <c r="A161" s="104"/>
      <c r="E161" s="11"/>
      <c r="F161" s="11"/>
      <c r="G161" s="49"/>
      <c r="H161" s="11"/>
      <c r="I161" s="19"/>
      <c r="J161" s="19"/>
      <c r="L161" s="11"/>
      <c r="M161" s="50"/>
      <c r="N161" s="22"/>
      <c r="Q161" s="78"/>
      <c r="T161" s="50"/>
      <c r="U161" s="11"/>
      <c r="V161" s="19"/>
    </row>
    <row r="162" ht="15.75" customHeight="1">
      <c r="A162" s="104"/>
      <c r="E162" s="11"/>
      <c r="F162" s="11"/>
      <c r="G162" s="49"/>
      <c r="H162" s="11"/>
      <c r="I162" s="19"/>
      <c r="J162" s="19"/>
      <c r="L162" s="11"/>
      <c r="M162" s="50"/>
      <c r="N162" s="22"/>
      <c r="Q162" s="78"/>
      <c r="T162" s="50"/>
      <c r="U162" s="11"/>
      <c r="V162" s="19"/>
    </row>
    <row r="163" ht="15.75" customHeight="1">
      <c r="A163" s="104"/>
      <c r="E163" s="11"/>
      <c r="F163" s="11"/>
      <c r="G163" s="49"/>
      <c r="H163" s="11"/>
      <c r="I163" s="19"/>
      <c r="J163" s="19"/>
      <c r="L163" s="11"/>
      <c r="M163" s="50"/>
      <c r="N163" s="22"/>
      <c r="Q163" s="78"/>
      <c r="T163" s="50"/>
      <c r="U163" s="11"/>
      <c r="V163" s="19"/>
    </row>
    <row r="164" ht="15.75" customHeight="1">
      <c r="A164" s="104"/>
      <c r="E164" s="11"/>
      <c r="F164" s="11"/>
      <c r="G164" s="49"/>
      <c r="H164" s="11"/>
      <c r="I164" s="19"/>
      <c r="J164" s="19"/>
      <c r="L164" s="11"/>
      <c r="M164" s="50"/>
      <c r="N164" s="22"/>
      <c r="Q164" s="78"/>
      <c r="T164" s="50"/>
      <c r="U164" s="11"/>
      <c r="V164" s="19"/>
    </row>
    <row r="165" ht="15.75" customHeight="1">
      <c r="A165" s="104"/>
      <c r="E165" s="11"/>
      <c r="F165" s="11"/>
      <c r="G165" s="49"/>
      <c r="H165" s="11"/>
      <c r="I165" s="19"/>
      <c r="J165" s="19"/>
      <c r="L165" s="11"/>
      <c r="M165" s="50"/>
      <c r="N165" s="22"/>
      <c r="Q165" s="78"/>
      <c r="T165" s="50"/>
      <c r="U165" s="11"/>
      <c r="V165" s="19"/>
    </row>
    <row r="166" ht="15.75" customHeight="1">
      <c r="A166" s="104"/>
      <c r="E166" s="11"/>
      <c r="F166" s="11"/>
      <c r="G166" s="49"/>
      <c r="H166" s="11"/>
      <c r="I166" s="19"/>
      <c r="J166" s="19"/>
      <c r="L166" s="11"/>
      <c r="M166" s="50"/>
      <c r="N166" s="22"/>
      <c r="Q166" s="78"/>
      <c r="T166" s="50"/>
      <c r="U166" s="11"/>
      <c r="V166" s="19"/>
    </row>
    <row r="167" ht="15.75" customHeight="1">
      <c r="A167" s="104"/>
      <c r="E167" s="11"/>
      <c r="F167" s="11"/>
      <c r="G167" s="49"/>
      <c r="H167" s="11"/>
      <c r="I167" s="19"/>
      <c r="J167" s="19"/>
      <c r="L167" s="11"/>
      <c r="M167" s="50"/>
      <c r="N167" s="22"/>
      <c r="Q167" s="78"/>
      <c r="T167" s="50"/>
      <c r="U167" s="11"/>
      <c r="V167" s="19"/>
    </row>
    <row r="168" ht="15.75" customHeight="1">
      <c r="A168" s="104"/>
      <c r="E168" s="11"/>
      <c r="F168" s="11"/>
      <c r="G168" s="49"/>
      <c r="H168" s="11"/>
      <c r="I168" s="19"/>
      <c r="J168" s="19"/>
      <c r="L168" s="11"/>
      <c r="M168" s="50"/>
      <c r="N168" s="22"/>
      <c r="Q168" s="78"/>
      <c r="T168" s="50"/>
      <c r="U168" s="11"/>
      <c r="V168" s="19"/>
    </row>
    <row r="169" ht="15.75" customHeight="1">
      <c r="A169" s="104"/>
      <c r="E169" s="11"/>
      <c r="F169" s="11"/>
      <c r="G169" s="49"/>
      <c r="H169" s="11"/>
      <c r="I169" s="19"/>
      <c r="J169" s="19"/>
      <c r="L169" s="11"/>
      <c r="M169" s="50"/>
      <c r="N169" s="22"/>
      <c r="Q169" s="78"/>
      <c r="T169" s="50"/>
      <c r="U169" s="11"/>
      <c r="V169" s="19"/>
    </row>
    <row r="170" ht="15.75" customHeight="1">
      <c r="A170" s="104"/>
      <c r="E170" s="11"/>
      <c r="F170" s="11"/>
      <c r="G170" s="49"/>
      <c r="H170" s="11"/>
      <c r="I170" s="19"/>
      <c r="J170" s="19"/>
      <c r="L170" s="11"/>
      <c r="M170" s="50"/>
      <c r="N170" s="22"/>
      <c r="Q170" s="78"/>
      <c r="T170" s="50"/>
      <c r="U170" s="11"/>
      <c r="V170" s="19"/>
    </row>
    <row r="171" ht="15.75" customHeight="1">
      <c r="A171" s="104"/>
      <c r="E171" s="11"/>
      <c r="F171" s="11"/>
      <c r="G171" s="49"/>
      <c r="H171" s="11"/>
      <c r="I171" s="19"/>
      <c r="J171" s="19"/>
      <c r="L171" s="11"/>
      <c r="M171" s="50"/>
      <c r="N171" s="22"/>
      <c r="Q171" s="78"/>
      <c r="T171" s="50"/>
      <c r="U171" s="11"/>
      <c r="V171" s="19"/>
    </row>
    <row r="172" ht="15.75" customHeight="1">
      <c r="A172" s="104"/>
      <c r="E172" s="11"/>
      <c r="F172" s="11"/>
      <c r="G172" s="49"/>
      <c r="H172" s="11"/>
      <c r="I172" s="19"/>
      <c r="J172" s="19"/>
      <c r="L172" s="11"/>
      <c r="M172" s="50"/>
      <c r="N172" s="22"/>
      <c r="Q172" s="78"/>
      <c r="T172" s="50"/>
      <c r="U172" s="11"/>
      <c r="V172" s="19"/>
    </row>
    <row r="173" ht="15.75" customHeight="1">
      <c r="A173" s="104"/>
      <c r="E173" s="11"/>
      <c r="F173" s="11"/>
      <c r="G173" s="49"/>
      <c r="H173" s="11"/>
      <c r="I173" s="19"/>
      <c r="J173" s="19"/>
      <c r="L173" s="11"/>
      <c r="M173" s="50"/>
      <c r="N173" s="22"/>
      <c r="Q173" s="78"/>
      <c r="T173" s="50"/>
      <c r="U173" s="11"/>
      <c r="V173" s="19"/>
    </row>
    <row r="174" ht="15.75" customHeight="1">
      <c r="A174" s="104"/>
      <c r="E174" s="11"/>
      <c r="F174" s="11"/>
      <c r="G174" s="49"/>
      <c r="H174" s="11"/>
      <c r="I174" s="19"/>
      <c r="J174" s="19"/>
      <c r="L174" s="11"/>
      <c r="M174" s="50"/>
      <c r="N174" s="22"/>
      <c r="Q174" s="78"/>
      <c r="T174" s="50"/>
      <c r="U174" s="11"/>
      <c r="V174" s="19"/>
    </row>
    <row r="175" ht="15.75" customHeight="1">
      <c r="A175" s="104"/>
      <c r="E175" s="11"/>
      <c r="F175" s="11"/>
      <c r="G175" s="49"/>
      <c r="H175" s="11"/>
      <c r="I175" s="19"/>
      <c r="J175" s="19"/>
      <c r="L175" s="11"/>
      <c r="M175" s="50"/>
      <c r="N175" s="22"/>
      <c r="Q175" s="78"/>
      <c r="T175" s="50"/>
      <c r="U175" s="11"/>
      <c r="V175" s="19"/>
    </row>
    <row r="176" ht="15.75" customHeight="1">
      <c r="A176" s="104"/>
      <c r="E176" s="11"/>
      <c r="F176" s="11"/>
      <c r="G176" s="49"/>
      <c r="H176" s="11"/>
      <c r="I176" s="19"/>
      <c r="J176" s="19"/>
      <c r="L176" s="11"/>
      <c r="M176" s="50"/>
      <c r="N176" s="22"/>
      <c r="Q176" s="78"/>
      <c r="T176" s="50"/>
      <c r="U176" s="11"/>
      <c r="V176" s="19"/>
    </row>
    <row r="177" ht="15.75" customHeight="1">
      <c r="A177" s="104"/>
      <c r="E177" s="11"/>
      <c r="F177" s="11"/>
      <c r="G177" s="49"/>
      <c r="H177" s="11"/>
      <c r="I177" s="19"/>
      <c r="J177" s="19"/>
      <c r="L177" s="11"/>
      <c r="M177" s="50"/>
      <c r="N177" s="22"/>
      <c r="Q177" s="78"/>
      <c r="T177" s="50"/>
      <c r="U177" s="11"/>
      <c r="V177" s="19"/>
    </row>
    <row r="178" ht="15.75" customHeight="1">
      <c r="A178" s="104"/>
      <c r="E178" s="11"/>
      <c r="F178" s="11"/>
      <c r="G178" s="49"/>
      <c r="H178" s="11"/>
      <c r="I178" s="19"/>
      <c r="J178" s="19"/>
      <c r="L178" s="11"/>
      <c r="M178" s="50"/>
      <c r="N178" s="22"/>
      <c r="Q178" s="78"/>
      <c r="T178" s="50"/>
      <c r="U178" s="11"/>
      <c r="V178" s="19"/>
    </row>
    <row r="179" ht="15.75" customHeight="1">
      <c r="A179" s="104"/>
      <c r="E179" s="11"/>
      <c r="F179" s="11"/>
      <c r="G179" s="49"/>
      <c r="H179" s="11"/>
      <c r="I179" s="19"/>
      <c r="J179" s="19"/>
      <c r="L179" s="11"/>
      <c r="M179" s="50"/>
      <c r="N179" s="22"/>
      <c r="Q179" s="78"/>
      <c r="T179" s="50"/>
      <c r="U179" s="11"/>
      <c r="V179" s="19"/>
    </row>
    <row r="180" ht="15.75" customHeight="1">
      <c r="A180" s="104"/>
      <c r="E180" s="11"/>
      <c r="F180" s="11"/>
      <c r="G180" s="49"/>
      <c r="H180" s="11"/>
      <c r="I180" s="19"/>
      <c r="J180" s="19"/>
      <c r="L180" s="11"/>
      <c r="M180" s="50"/>
      <c r="N180" s="22"/>
      <c r="Q180" s="78"/>
      <c r="T180" s="50"/>
      <c r="U180" s="11"/>
      <c r="V180" s="19"/>
    </row>
    <row r="181" ht="15.75" customHeight="1">
      <c r="A181" s="104"/>
      <c r="E181" s="11"/>
      <c r="F181" s="11"/>
      <c r="G181" s="49"/>
      <c r="H181" s="11"/>
      <c r="I181" s="19"/>
      <c r="J181" s="19"/>
      <c r="L181" s="11"/>
      <c r="M181" s="50"/>
      <c r="N181" s="22"/>
      <c r="Q181" s="78"/>
      <c r="T181" s="50"/>
      <c r="U181" s="11"/>
      <c r="V181" s="19"/>
    </row>
    <row r="182" ht="15.75" customHeight="1">
      <c r="A182" s="104"/>
      <c r="E182" s="11"/>
      <c r="F182" s="11"/>
      <c r="G182" s="49"/>
      <c r="H182" s="11"/>
      <c r="I182" s="19"/>
      <c r="J182" s="19"/>
      <c r="L182" s="11"/>
      <c r="M182" s="50"/>
      <c r="N182" s="22"/>
      <c r="Q182" s="78"/>
      <c r="T182" s="50"/>
      <c r="U182" s="11"/>
      <c r="V182" s="19"/>
    </row>
    <row r="183" ht="15.75" customHeight="1">
      <c r="A183" s="104"/>
      <c r="E183" s="11"/>
      <c r="F183" s="11"/>
      <c r="G183" s="49"/>
      <c r="H183" s="11"/>
      <c r="I183" s="19"/>
      <c r="J183" s="19"/>
      <c r="L183" s="11"/>
      <c r="M183" s="50"/>
      <c r="N183" s="22"/>
      <c r="Q183" s="78"/>
      <c r="T183" s="50"/>
      <c r="U183" s="11"/>
      <c r="V183" s="19"/>
    </row>
    <row r="184" ht="15.75" customHeight="1">
      <c r="A184" s="104"/>
      <c r="E184" s="11"/>
      <c r="F184" s="11"/>
      <c r="G184" s="49"/>
      <c r="H184" s="11"/>
      <c r="I184" s="19"/>
      <c r="J184" s="19"/>
      <c r="L184" s="11"/>
      <c r="M184" s="50"/>
      <c r="N184" s="22"/>
      <c r="Q184" s="78"/>
      <c r="T184" s="50"/>
      <c r="U184" s="11"/>
      <c r="V184" s="19"/>
    </row>
    <row r="185" ht="15.75" customHeight="1">
      <c r="A185" s="104"/>
      <c r="E185" s="11"/>
      <c r="F185" s="11"/>
      <c r="G185" s="49"/>
      <c r="H185" s="11"/>
      <c r="I185" s="19"/>
      <c r="J185" s="19"/>
      <c r="L185" s="11"/>
      <c r="M185" s="50"/>
      <c r="N185" s="22"/>
      <c r="Q185" s="78"/>
      <c r="T185" s="50"/>
      <c r="U185" s="11"/>
      <c r="V185" s="19"/>
    </row>
    <row r="186" ht="15.75" customHeight="1">
      <c r="A186" s="104"/>
      <c r="E186" s="11"/>
      <c r="F186" s="11"/>
      <c r="G186" s="49"/>
      <c r="H186" s="11"/>
      <c r="I186" s="19"/>
      <c r="J186" s="19"/>
      <c r="L186" s="11"/>
      <c r="M186" s="50"/>
      <c r="N186" s="22"/>
      <c r="Q186" s="78"/>
      <c r="T186" s="50"/>
      <c r="U186" s="11"/>
      <c r="V186" s="19"/>
    </row>
    <row r="187" ht="15.75" customHeight="1">
      <c r="A187" s="104"/>
      <c r="E187" s="11"/>
      <c r="F187" s="11"/>
      <c r="G187" s="49"/>
      <c r="H187" s="11"/>
      <c r="I187" s="19"/>
      <c r="J187" s="19"/>
      <c r="L187" s="11"/>
      <c r="M187" s="50"/>
      <c r="N187" s="22"/>
      <c r="Q187" s="78"/>
      <c r="T187" s="50"/>
      <c r="U187" s="11"/>
      <c r="V187" s="19"/>
    </row>
    <row r="188" ht="15.75" customHeight="1">
      <c r="A188" s="104"/>
      <c r="E188" s="11"/>
      <c r="F188" s="11"/>
      <c r="G188" s="49"/>
      <c r="H188" s="11"/>
      <c r="I188" s="19"/>
      <c r="J188" s="19"/>
      <c r="L188" s="11"/>
      <c r="M188" s="50"/>
      <c r="N188" s="22"/>
      <c r="Q188" s="78"/>
      <c r="T188" s="50"/>
      <c r="U188" s="11"/>
      <c r="V188" s="19"/>
    </row>
    <row r="189" ht="15.75" customHeight="1">
      <c r="A189" s="104"/>
      <c r="E189" s="11"/>
      <c r="F189" s="11"/>
      <c r="G189" s="49"/>
      <c r="H189" s="11"/>
      <c r="I189" s="19"/>
      <c r="J189" s="19"/>
      <c r="L189" s="11"/>
      <c r="M189" s="50"/>
      <c r="N189" s="22"/>
      <c r="Q189" s="78"/>
      <c r="T189" s="50"/>
      <c r="U189" s="11"/>
      <c r="V189" s="19"/>
    </row>
    <row r="190" ht="15.75" customHeight="1">
      <c r="A190" s="104"/>
      <c r="E190" s="11"/>
      <c r="F190" s="11"/>
      <c r="G190" s="49"/>
      <c r="H190" s="11"/>
      <c r="I190" s="19"/>
      <c r="J190" s="19"/>
      <c r="L190" s="11"/>
      <c r="M190" s="50"/>
      <c r="N190" s="22"/>
      <c r="Q190" s="78"/>
      <c r="T190" s="50"/>
      <c r="U190" s="11"/>
      <c r="V190" s="19"/>
    </row>
    <row r="191" ht="15.75" customHeight="1">
      <c r="A191" s="104"/>
      <c r="E191" s="11"/>
      <c r="F191" s="11"/>
      <c r="G191" s="49"/>
      <c r="H191" s="11"/>
      <c r="I191" s="19"/>
      <c r="J191" s="19"/>
      <c r="L191" s="11"/>
      <c r="M191" s="50"/>
      <c r="N191" s="22"/>
      <c r="Q191" s="78"/>
      <c r="T191" s="50"/>
      <c r="U191" s="11"/>
      <c r="V191" s="19"/>
    </row>
    <row r="192" ht="15.75" customHeight="1">
      <c r="A192" s="104"/>
      <c r="E192" s="11"/>
      <c r="F192" s="11"/>
      <c r="G192" s="49"/>
      <c r="H192" s="11"/>
      <c r="I192" s="19"/>
      <c r="J192" s="19"/>
      <c r="L192" s="11"/>
      <c r="M192" s="50"/>
      <c r="N192" s="22"/>
      <c r="Q192" s="78"/>
      <c r="T192" s="50"/>
      <c r="U192" s="11"/>
      <c r="V192" s="19"/>
    </row>
    <row r="193" ht="15.75" customHeight="1">
      <c r="A193" s="104"/>
      <c r="E193" s="11"/>
      <c r="F193" s="11"/>
      <c r="G193" s="49"/>
      <c r="H193" s="11"/>
      <c r="I193" s="19"/>
      <c r="J193" s="19"/>
      <c r="L193" s="11"/>
      <c r="M193" s="50"/>
      <c r="N193" s="22"/>
      <c r="Q193" s="78"/>
      <c r="T193" s="50"/>
      <c r="U193" s="11"/>
      <c r="V193" s="19"/>
    </row>
    <row r="194" ht="15.75" customHeight="1">
      <c r="A194" s="104"/>
      <c r="E194" s="11"/>
      <c r="F194" s="11"/>
      <c r="G194" s="49"/>
      <c r="H194" s="11"/>
      <c r="I194" s="19"/>
      <c r="J194" s="19"/>
      <c r="L194" s="11"/>
      <c r="M194" s="50"/>
      <c r="N194" s="22"/>
      <c r="Q194" s="78"/>
      <c r="T194" s="50"/>
      <c r="U194" s="11"/>
      <c r="V194" s="19"/>
    </row>
    <row r="195" ht="15.75" customHeight="1">
      <c r="A195" s="104"/>
      <c r="E195" s="11"/>
      <c r="F195" s="11"/>
      <c r="G195" s="49"/>
      <c r="H195" s="11"/>
      <c r="I195" s="19"/>
      <c r="J195" s="19"/>
      <c r="L195" s="11"/>
      <c r="M195" s="50"/>
      <c r="N195" s="22"/>
      <c r="Q195" s="78"/>
      <c r="T195" s="50"/>
      <c r="U195" s="11"/>
      <c r="V195" s="19"/>
    </row>
    <row r="196" ht="15.75" customHeight="1">
      <c r="A196" s="104"/>
      <c r="E196" s="11"/>
      <c r="F196" s="11"/>
      <c r="G196" s="49"/>
      <c r="H196" s="11"/>
      <c r="I196" s="19"/>
      <c r="J196" s="19"/>
      <c r="L196" s="11"/>
      <c r="M196" s="50"/>
      <c r="N196" s="22"/>
      <c r="Q196" s="78"/>
      <c r="T196" s="50"/>
      <c r="U196" s="11"/>
      <c r="V196" s="19"/>
    </row>
    <row r="197" ht="15.75" customHeight="1">
      <c r="A197" s="104"/>
      <c r="E197" s="11"/>
      <c r="F197" s="11"/>
      <c r="G197" s="49"/>
      <c r="H197" s="11"/>
      <c r="I197" s="19"/>
      <c r="J197" s="19"/>
      <c r="L197" s="11"/>
      <c r="M197" s="50"/>
      <c r="N197" s="22"/>
      <c r="Q197" s="78"/>
      <c r="T197" s="50"/>
      <c r="U197" s="11"/>
      <c r="V197" s="19"/>
    </row>
    <row r="198" ht="15.75" customHeight="1">
      <c r="A198" s="104"/>
      <c r="E198" s="11"/>
      <c r="F198" s="11"/>
      <c r="G198" s="49"/>
      <c r="H198" s="11"/>
      <c r="I198" s="19"/>
      <c r="J198" s="19"/>
      <c r="L198" s="11"/>
      <c r="M198" s="50"/>
      <c r="N198" s="22"/>
      <c r="Q198" s="78"/>
      <c r="T198" s="50"/>
      <c r="U198" s="11"/>
      <c r="V198" s="19"/>
    </row>
    <row r="199" ht="15.75" customHeight="1">
      <c r="A199" s="104"/>
      <c r="E199" s="11"/>
      <c r="F199" s="11"/>
      <c r="G199" s="49"/>
      <c r="H199" s="11"/>
      <c r="I199" s="19"/>
      <c r="J199" s="19"/>
      <c r="L199" s="11"/>
      <c r="M199" s="50"/>
      <c r="N199" s="22"/>
      <c r="Q199" s="78"/>
      <c r="T199" s="50"/>
      <c r="U199" s="11"/>
      <c r="V199" s="19"/>
    </row>
    <row r="200" ht="15.75" customHeight="1">
      <c r="A200" s="104"/>
      <c r="E200" s="11"/>
      <c r="F200" s="11"/>
      <c r="G200" s="49"/>
      <c r="H200" s="11"/>
      <c r="I200" s="19"/>
      <c r="J200" s="19"/>
      <c r="L200" s="11"/>
      <c r="M200" s="50"/>
      <c r="N200" s="22"/>
      <c r="Q200" s="78"/>
      <c r="T200" s="50"/>
      <c r="U200" s="11"/>
      <c r="V200" s="19"/>
    </row>
    <row r="201" ht="15.75" customHeight="1">
      <c r="A201" s="104"/>
      <c r="E201" s="11"/>
      <c r="F201" s="11"/>
      <c r="G201" s="49"/>
      <c r="H201" s="11"/>
      <c r="I201" s="19"/>
      <c r="J201" s="19"/>
      <c r="L201" s="11"/>
      <c r="M201" s="50"/>
      <c r="N201" s="22"/>
      <c r="Q201" s="78"/>
      <c r="T201" s="50"/>
      <c r="U201" s="11"/>
      <c r="V201" s="19"/>
    </row>
    <row r="202" ht="15.75" customHeight="1">
      <c r="A202" s="104"/>
      <c r="E202" s="11"/>
      <c r="F202" s="11"/>
      <c r="G202" s="49"/>
      <c r="H202" s="11"/>
      <c r="I202" s="19"/>
      <c r="J202" s="19"/>
      <c r="L202" s="11"/>
      <c r="M202" s="50"/>
      <c r="N202" s="22"/>
      <c r="Q202" s="78"/>
      <c r="T202" s="50"/>
      <c r="U202" s="11"/>
      <c r="V202" s="19"/>
    </row>
    <row r="203" ht="15.75" customHeight="1">
      <c r="A203" s="104"/>
      <c r="E203" s="11"/>
      <c r="F203" s="11"/>
      <c r="G203" s="49"/>
      <c r="H203" s="11"/>
      <c r="I203" s="19"/>
      <c r="J203" s="19"/>
      <c r="L203" s="11"/>
      <c r="M203" s="50"/>
      <c r="N203" s="22"/>
      <c r="Q203" s="78"/>
      <c r="T203" s="50"/>
      <c r="U203" s="11"/>
      <c r="V203" s="19"/>
    </row>
    <row r="204" ht="15.75" customHeight="1">
      <c r="A204" s="104"/>
      <c r="E204" s="11"/>
      <c r="F204" s="11"/>
      <c r="G204" s="49"/>
      <c r="H204" s="11"/>
      <c r="I204" s="19"/>
      <c r="J204" s="19"/>
      <c r="L204" s="11"/>
      <c r="M204" s="50"/>
      <c r="N204" s="22"/>
      <c r="Q204" s="78"/>
      <c r="T204" s="50"/>
      <c r="U204" s="11"/>
      <c r="V204" s="19"/>
    </row>
    <row r="205" ht="15.75" customHeight="1">
      <c r="A205" s="104"/>
      <c r="E205" s="11"/>
      <c r="F205" s="11"/>
      <c r="G205" s="49"/>
      <c r="H205" s="11"/>
      <c r="I205" s="19"/>
      <c r="J205" s="19"/>
      <c r="L205" s="11"/>
      <c r="M205" s="50"/>
      <c r="N205" s="22"/>
      <c r="Q205" s="78"/>
      <c r="T205" s="50"/>
      <c r="U205" s="11"/>
      <c r="V205" s="19"/>
    </row>
    <row r="206" ht="15.75" customHeight="1">
      <c r="A206" s="104"/>
      <c r="E206" s="11"/>
      <c r="F206" s="11"/>
      <c r="G206" s="49"/>
      <c r="H206" s="11"/>
      <c r="I206" s="19"/>
      <c r="J206" s="19"/>
      <c r="L206" s="11"/>
      <c r="M206" s="50"/>
      <c r="N206" s="22"/>
      <c r="Q206" s="78"/>
      <c r="T206" s="50"/>
      <c r="U206" s="11"/>
      <c r="V206" s="19"/>
    </row>
    <row r="207" ht="15.75" customHeight="1">
      <c r="A207" s="104"/>
      <c r="E207" s="11"/>
      <c r="F207" s="11"/>
      <c r="G207" s="49"/>
      <c r="H207" s="11"/>
      <c r="I207" s="19"/>
      <c r="J207" s="19"/>
      <c r="L207" s="11"/>
      <c r="M207" s="50"/>
      <c r="N207" s="22"/>
      <c r="Q207" s="78"/>
      <c r="T207" s="50"/>
      <c r="U207" s="11"/>
      <c r="V207" s="19"/>
    </row>
    <row r="208" ht="15.75" customHeight="1">
      <c r="A208" s="104"/>
      <c r="E208" s="11"/>
      <c r="F208" s="11"/>
      <c r="G208" s="49"/>
      <c r="H208" s="11"/>
      <c r="I208" s="19"/>
      <c r="J208" s="19"/>
      <c r="L208" s="11"/>
      <c r="M208" s="50"/>
      <c r="N208" s="22"/>
      <c r="Q208" s="78"/>
      <c r="T208" s="50"/>
      <c r="U208" s="11"/>
      <c r="V208" s="19"/>
    </row>
    <row r="209" ht="15.75" customHeight="1">
      <c r="A209" s="104"/>
      <c r="E209" s="11"/>
      <c r="F209" s="11"/>
      <c r="G209" s="49"/>
      <c r="H209" s="11"/>
      <c r="I209" s="19"/>
      <c r="J209" s="19"/>
      <c r="L209" s="11"/>
      <c r="M209" s="50"/>
      <c r="N209" s="22"/>
      <c r="Q209" s="78"/>
      <c r="T209" s="50"/>
      <c r="U209" s="11"/>
      <c r="V209" s="19"/>
    </row>
    <row r="210" ht="15.75" customHeight="1">
      <c r="A210" s="104"/>
      <c r="E210" s="11"/>
      <c r="F210" s="11"/>
      <c r="G210" s="49"/>
      <c r="H210" s="11"/>
      <c r="I210" s="19"/>
      <c r="J210" s="19"/>
      <c r="L210" s="11"/>
      <c r="M210" s="50"/>
      <c r="N210" s="22"/>
      <c r="Q210" s="78"/>
      <c r="T210" s="50"/>
      <c r="U210" s="11"/>
      <c r="V210" s="19"/>
    </row>
    <row r="211" ht="15.75" customHeight="1">
      <c r="A211" s="104"/>
      <c r="E211" s="11"/>
      <c r="F211" s="11"/>
      <c r="G211" s="49"/>
      <c r="H211" s="11"/>
      <c r="I211" s="19"/>
      <c r="J211" s="19"/>
      <c r="L211" s="11"/>
      <c r="M211" s="50"/>
      <c r="N211" s="22"/>
      <c r="Q211" s="78"/>
      <c r="T211" s="50"/>
      <c r="U211" s="11"/>
      <c r="V211" s="19"/>
    </row>
    <row r="212" ht="15.75" customHeight="1">
      <c r="A212" s="104"/>
      <c r="E212" s="11"/>
      <c r="F212" s="11"/>
      <c r="G212" s="49"/>
      <c r="H212" s="11"/>
      <c r="I212" s="19"/>
      <c r="J212" s="19"/>
      <c r="L212" s="11"/>
      <c r="M212" s="50"/>
      <c r="N212" s="22"/>
      <c r="Q212" s="78"/>
      <c r="T212" s="50"/>
      <c r="U212" s="11"/>
      <c r="V212" s="19"/>
    </row>
    <row r="213" ht="15.75" customHeight="1">
      <c r="A213" s="104"/>
      <c r="E213" s="11"/>
      <c r="F213" s="11"/>
      <c r="G213" s="49"/>
      <c r="H213" s="11"/>
      <c r="I213" s="19"/>
      <c r="J213" s="19"/>
      <c r="L213" s="11"/>
      <c r="M213" s="50"/>
      <c r="N213" s="22"/>
      <c r="Q213" s="78"/>
      <c r="T213" s="50"/>
      <c r="U213" s="11"/>
      <c r="V213" s="19"/>
    </row>
    <row r="214" ht="15.75" customHeight="1">
      <c r="A214" s="104"/>
      <c r="E214" s="11"/>
      <c r="F214" s="11"/>
      <c r="G214" s="49"/>
      <c r="H214" s="11"/>
      <c r="I214" s="19"/>
      <c r="J214" s="19"/>
      <c r="L214" s="11"/>
      <c r="M214" s="50"/>
      <c r="N214" s="22"/>
      <c r="Q214" s="78"/>
      <c r="T214" s="50"/>
      <c r="U214" s="11"/>
      <c r="V214" s="19"/>
    </row>
    <row r="215" ht="15.75" customHeight="1">
      <c r="A215" s="104"/>
      <c r="E215" s="11"/>
      <c r="F215" s="11"/>
      <c r="G215" s="49"/>
      <c r="H215" s="11"/>
      <c r="I215" s="19"/>
      <c r="J215" s="19"/>
      <c r="L215" s="11"/>
      <c r="M215" s="50"/>
      <c r="N215" s="22"/>
      <c r="Q215" s="78"/>
      <c r="T215" s="50"/>
      <c r="U215" s="11"/>
      <c r="V215" s="19"/>
    </row>
    <row r="216" ht="15.75" customHeight="1">
      <c r="A216" s="104"/>
      <c r="E216" s="11"/>
      <c r="F216" s="11"/>
      <c r="G216" s="49"/>
      <c r="H216" s="11"/>
      <c r="I216" s="19"/>
      <c r="J216" s="19"/>
      <c r="L216" s="11"/>
      <c r="M216" s="50"/>
      <c r="N216" s="22"/>
      <c r="Q216" s="78"/>
      <c r="T216" s="50"/>
      <c r="U216" s="11"/>
      <c r="V216" s="19"/>
    </row>
    <row r="217" ht="15.75" customHeight="1">
      <c r="A217" s="104"/>
      <c r="E217" s="11"/>
      <c r="F217" s="11"/>
      <c r="G217" s="49"/>
      <c r="H217" s="11"/>
      <c r="I217" s="19"/>
      <c r="J217" s="19"/>
      <c r="L217" s="11"/>
      <c r="M217" s="50"/>
      <c r="N217" s="22"/>
      <c r="Q217" s="78"/>
      <c r="T217" s="50"/>
      <c r="U217" s="11"/>
      <c r="V217" s="19"/>
    </row>
    <row r="218" ht="15.75" customHeight="1">
      <c r="A218" s="104"/>
      <c r="E218" s="11"/>
      <c r="F218" s="11"/>
      <c r="G218" s="49"/>
      <c r="H218" s="11"/>
      <c r="I218" s="19"/>
      <c r="J218" s="19"/>
      <c r="L218" s="11"/>
      <c r="M218" s="50"/>
      <c r="N218" s="22"/>
      <c r="Q218" s="78"/>
      <c r="T218" s="50"/>
      <c r="U218" s="11"/>
      <c r="V218" s="19"/>
    </row>
    <row r="219" ht="15.75" customHeight="1">
      <c r="A219" s="104"/>
      <c r="E219" s="11"/>
      <c r="F219" s="11"/>
      <c r="G219" s="49"/>
      <c r="H219" s="11"/>
      <c r="I219" s="19"/>
      <c r="J219" s="19"/>
      <c r="L219" s="11"/>
      <c r="M219" s="50"/>
      <c r="N219" s="22"/>
      <c r="Q219" s="78"/>
      <c r="T219" s="50"/>
      <c r="U219" s="11"/>
      <c r="V219" s="19"/>
    </row>
    <row r="220" ht="15.75" customHeight="1">
      <c r="A220" s="104"/>
      <c r="E220" s="11"/>
      <c r="F220" s="11"/>
      <c r="G220" s="49"/>
      <c r="H220" s="11"/>
      <c r="I220" s="19"/>
      <c r="J220" s="19"/>
      <c r="L220" s="11"/>
      <c r="M220" s="50"/>
      <c r="N220" s="22"/>
      <c r="Q220" s="78"/>
      <c r="T220" s="50"/>
      <c r="U220" s="11"/>
      <c r="V220" s="19"/>
    </row>
    <row r="221" ht="15.75" customHeight="1">
      <c r="A221" s="104"/>
      <c r="E221" s="11"/>
      <c r="F221" s="11"/>
      <c r="G221" s="49"/>
      <c r="H221" s="11"/>
      <c r="I221" s="19"/>
      <c r="J221" s="19"/>
      <c r="L221" s="11"/>
      <c r="M221" s="50"/>
      <c r="N221" s="22"/>
      <c r="Q221" s="78"/>
      <c r="T221" s="50"/>
      <c r="U221" s="11"/>
      <c r="V221" s="19"/>
    </row>
    <row r="222" ht="15.75" customHeight="1">
      <c r="A222" s="104"/>
      <c r="E222" s="11"/>
      <c r="F222" s="11"/>
      <c r="G222" s="49"/>
      <c r="H222" s="11"/>
      <c r="I222" s="19"/>
      <c r="J222" s="19"/>
      <c r="L222" s="11"/>
      <c r="M222" s="50"/>
      <c r="N222" s="22"/>
      <c r="Q222" s="78"/>
      <c r="T222" s="50"/>
      <c r="U222" s="11"/>
      <c r="V222" s="19"/>
    </row>
    <row r="223" ht="15.75" customHeight="1">
      <c r="A223" s="104"/>
      <c r="E223" s="11"/>
      <c r="F223" s="11"/>
      <c r="G223" s="49"/>
      <c r="H223" s="11"/>
      <c r="I223" s="19"/>
      <c r="J223" s="19"/>
      <c r="L223" s="11"/>
      <c r="M223" s="50"/>
      <c r="N223" s="22"/>
      <c r="Q223" s="78"/>
      <c r="T223" s="50"/>
      <c r="U223" s="11"/>
      <c r="V223" s="19"/>
    </row>
    <row r="224" ht="15.75" customHeight="1">
      <c r="A224" s="104"/>
      <c r="E224" s="11"/>
      <c r="F224" s="11"/>
      <c r="G224" s="49"/>
      <c r="H224" s="11"/>
      <c r="I224" s="19"/>
      <c r="J224" s="19"/>
      <c r="L224" s="11"/>
      <c r="M224" s="50"/>
      <c r="N224" s="22"/>
      <c r="Q224" s="78"/>
      <c r="T224" s="50"/>
      <c r="U224" s="11"/>
      <c r="V224" s="19"/>
    </row>
    <row r="225" ht="15.75" customHeight="1">
      <c r="A225" s="104"/>
      <c r="E225" s="11"/>
      <c r="F225" s="11"/>
      <c r="G225" s="49"/>
      <c r="H225" s="11"/>
      <c r="I225" s="19"/>
      <c r="J225" s="19"/>
      <c r="L225" s="11"/>
      <c r="M225" s="50"/>
      <c r="N225" s="22"/>
      <c r="Q225" s="78"/>
      <c r="T225" s="50"/>
      <c r="U225" s="11"/>
      <c r="V225" s="19"/>
    </row>
    <row r="226" ht="15.75" customHeight="1">
      <c r="A226" s="104"/>
      <c r="E226" s="11"/>
      <c r="F226" s="11"/>
      <c r="G226" s="49"/>
      <c r="H226" s="11"/>
      <c r="I226" s="19"/>
      <c r="J226" s="19"/>
      <c r="L226" s="11"/>
      <c r="M226" s="50"/>
      <c r="N226" s="22"/>
      <c r="Q226" s="78"/>
      <c r="T226" s="50"/>
      <c r="U226" s="11"/>
      <c r="V226" s="19"/>
    </row>
    <row r="227" ht="15.75" customHeight="1">
      <c r="A227" s="104"/>
      <c r="E227" s="11"/>
      <c r="F227" s="11"/>
      <c r="G227" s="49"/>
      <c r="H227" s="11"/>
      <c r="I227" s="19"/>
      <c r="J227" s="19"/>
      <c r="L227" s="11"/>
      <c r="M227" s="50"/>
      <c r="N227" s="22"/>
      <c r="Q227" s="78"/>
      <c r="T227" s="50"/>
      <c r="U227" s="11"/>
      <c r="V227" s="19"/>
    </row>
    <row r="228" ht="15.75" customHeight="1">
      <c r="A228" s="104"/>
      <c r="E228" s="11"/>
      <c r="F228" s="11"/>
      <c r="G228" s="49"/>
      <c r="H228" s="11"/>
      <c r="I228" s="19"/>
      <c r="J228" s="19"/>
      <c r="L228" s="11"/>
      <c r="M228" s="50"/>
      <c r="N228" s="22"/>
      <c r="Q228" s="78"/>
      <c r="T228" s="50"/>
      <c r="U228" s="11"/>
      <c r="V228" s="19"/>
    </row>
    <row r="229" ht="15.75" customHeight="1">
      <c r="A229" s="104"/>
      <c r="E229" s="11"/>
      <c r="F229" s="11"/>
      <c r="G229" s="49"/>
      <c r="H229" s="11"/>
      <c r="I229" s="19"/>
      <c r="J229" s="19"/>
      <c r="L229" s="11"/>
      <c r="M229" s="50"/>
      <c r="N229" s="22"/>
      <c r="Q229" s="78"/>
      <c r="T229" s="50"/>
      <c r="U229" s="11"/>
      <c r="V229" s="19"/>
    </row>
    <row r="230" ht="15.75" customHeight="1">
      <c r="A230" s="104"/>
      <c r="E230" s="11"/>
      <c r="F230" s="11"/>
      <c r="G230" s="49"/>
      <c r="H230" s="11"/>
      <c r="I230" s="19"/>
      <c r="J230" s="19"/>
      <c r="L230" s="11"/>
      <c r="M230" s="50"/>
      <c r="N230" s="22"/>
      <c r="Q230" s="78"/>
      <c r="T230" s="50"/>
      <c r="U230" s="11"/>
      <c r="V230" s="19"/>
    </row>
    <row r="231" ht="15.75" customHeight="1">
      <c r="A231" s="104"/>
      <c r="E231" s="11"/>
      <c r="F231" s="11"/>
      <c r="G231" s="49"/>
      <c r="H231" s="11"/>
      <c r="I231" s="19"/>
      <c r="J231" s="19"/>
      <c r="L231" s="11"/>
      <c r="M231" s="50"/>
      <c r="N231" s="22"/>
      <c r="Q231" s="78"/>
      <c r="T231" s="50"/>
      <c r="U231" s="11"/>
      <c r="V231" s="19"/>
    </row>
    <row r="232" ht="15.75" customHeight="1">
      <c r="A232" s="104"/>
      <c r="E232" s="11"/>
      <c r="F232" s="11"/>
      <c r="G232" s="49"/>
      <c r="H232" s="11"/>
      <c r="I232" s="19"/>
      <c r="J232" s="19"/>
      <c r="L232" s="11"/>
      <c r="M232" s="50"/>
      <c r="N232" s="22"/>
      <c r="Q232" s="78"/>
      <c r="T232" s="50"/>
      <c r="U232" s="11"/>
      <c r="V232" s="19"/>
    </row>
    <row r="233" ht="15.75" customHeight="1">
      <c r="A233" s="104"/>
      <c r="E233" s="11"/>
      <c r="F233" s="11"/>
      <c r="G233" s="49"/>
      <c r="H233" s="11"/>
      <c r="I233" s="19"/>
      <c r="J233" s="19"/>
      <c r="L233" s="11"/>
      <c r="M233" s="50"/>
      <c r="N233" s="22"/>
      <c r="Q233" s="78"/>
      <c r="T233" s="50"/>
      <c r="U233" s="11"/>
      <c r="V233" s="19"/>
    </row>
    <row r="234" ht="15.75" customHeight="1">
      <c r="A234" s="104"/>
      <c r="E234" s="11"/>
      <c r="F234" s="11"/>
      <c r="G234" s="49"/>
      <c r="H234" s="11"/>
      <c r="I234" s="19"/>
      <c r="J234" s="19"/>
      <c r="L234" s="11"/>
      <c r="M234" s="50"/>
      <c r="N234" s="22"/>
      <c r="Q234" s="78"/>
      <c r="T234" s="50"/>
      <c r="U234" s="11"/>
      <c r="V234" s="19"/>
    </row>
    <row r="235" ht="15.75" customHeight="1">
      <c r="A235" s="104"/>
      <c r="E235" s="11"/>
      <c r="F235" s="11"/>
      <c r="G235" s="49"/>
      <c r="H235" s="11"/>
      <c r="I235" s="19"/>
      <c r="J235" s="19"/>
      <c r="L235" s="11"/>
      <c r="M235" s="50"/>
      <c r="N235" s="22"/>
      <c r="Q235" s="78"/>
      <c r="T235" s="50"/>
      <c r="U235" s="11"/>
      <c r="V235" s="19"/>
    </row>
    <row r="236" ht="15.75" customHeight="1">
      <c r="A236" s="104"/>
      <c r="E236" s="11"/>
      <c r="F236" s="11"/>
      <c r="G236" s="49"/>
      <c r="H236" s="11"/>
      <c r="I236" s="19"/>
      <c r="J236" s="19"/>
      <c r="L236" s="11"/>
      <c r="M236" s="50"/>
      <c r="N236" s="22"/>
      <c r="Q236" s="78"/>
      <c r="T236" s="50"/>
      <c r="U236" s="11"/>
      <c r="V236" s="19"/>
    </row>
    <row r="237" ht="15.75" customHeight="1">
      <c r="A237" s="104"/>
      <c r="E237" s="11"/>
      <c r="F237" s="11"/>
      <c r="G237" s="49"/>
      <c r="H237" s="11"/>
      <c r="I237" s="19"/>
      <c r="J237" s="19"/>
      <c r="L237" s="11"/>
      <c r="M237" s="50"/>
      <c r="N237" s="22"/>
      <c r="Q237" s="78"/>
      <c r="T237" s="50"/>
      <c r="U237" s="11"/>
      <c r="V237" s="19"/>
    </row>
    <row r="238" ht="15.75" customHeight="1">
      <c r="A238" s="104"/>
      <c r="E238" s="11"/>
      <c r="F238" s="11"/>
      <c r="G238" s="49"/>
      <c r="H238" s="11"/>
      <c r="I238" s="19"/>
      <c r="J238" s="19"/>
      <c r="L238" s="11"/>
      <c r="M238" s="50"/>
      <c r="N238" s="22"/>
      <c r="Q238" s="78"/>
      <c r="T238" s="50"/>
      <c r="U238" s="11"/>
      <c r="V238" s="19"/>
    </row>
    <row r="239" ht="15.75" customHeight="1">
      <c r="A239" s="104"/>
      <c r="E239" s="11"/>
      <c r="F239" s="11"/>
      <c r="G239" s="49"/>
      <c r="H239" s="11"/>
      <c r="I239" s="19"/>
      <c r="J239" s="19"/>
      <c r="L239" s="11"/>
      <c r="M239" s="50"/>
      <c r="N239" s="22"/>
      <c r="Q239" s="78"/>
      <c r="T239" s="50"/>
      <c r="U239" s="11"/>
      <c r="V239" s="19"/>
    </row>
    <row r="240" ht="15.75" customHeight="1">
      <c r="A240" s="104"/>
      <c r="E240" s="11"/>
      <c r="F240" s="11"/>
      <c r="G240" s="49"/>
      <c r="H240" s="11"/>
      <c r="I240" s="19"/>
      <c r="J240" s="19"/>
      <c r="L240" s="11"/>
      <c r="M240" s="50"/>
      <c r="N240" s="22"/>
      <c r="Q240" s="78"/>
      <c r="T240" s="50"/>
      <c r="U240" s="11"/>
      <c r="V240" s="19"/>
    </row>
    <row r="241" ht="15.75" customHeight="1">
      <c r="A241" s="104"/>
      <c r="E241" s="11"/>
      <c r="F241" s="11"/>
      <c r="G241" s="49"/>
      <c r="H241" s="11"/>
      <c r="I241" s="19"/>
      <c r="J241" s="19"/>
      <c r="L241" s="11"/>
      <c r="M241" s="50"/>
      <c r="N241" s="22"/>
      <c r="Q241" s="78"/>
      <c r="T241" s="50"/>
      <c r="U241" s="11"/>
      <c r="V241" s="19"/>
    </row>
    <row r="242" ht="15.75" customHeight="1">
      <c r="A242" s="104"/>
      <c r="E242" s="11"/>
      <c r="F242" s="11"/>
      <c r="G242" s="49"/>
      <c r="H242" s="11"/>
      <c r="I242" s="19"/>
      <c r="J242" s="19"/>
      <c r="L242" s="11"/>
      <c r="M242" s="50"/>
      <c r="N242" s="22"/>
      <c r="Q242" s="78"/>
      <c r="T242" s="50"/>
      <c r="U242" s="11"/>
      <c r="V242" s="19"/>
    </row>
    <row r="243" ht="15.75" customHeight="1">
      <c r="A243" s="104"/>
      <c r="E243" s="11"/>
      <c r="F243" s="11"/>
      <c r="G243" s="49"/>
      <c r="H243" s="11"/>
      <c r="I243" s="19"/>
      <c r="J243" s="19"/>
      <c r="L243" s="11"/>
      <c r="M243" s="50"/>
      <c r="N243" s="22"/>
      <c r="Q243" s="78"/>
      <c r="T243" s="50"/>
      <c r="U243" s="11"/>
      <c r="V243" s="19"/>
    </row>
    <row r="244" ht="15.75" customHeight="1">
      <c r="A244" s="104"/>
      <c r="E244" s="11"/>
      <c r="F244" s="11"/>
      <c r="G244" s="49"/>
      <c r="H244" s="11"/>
      <c r="I244" s="19"/>
      <c r="J244" s="19"/>
      <c r="L244" s="11"/>
      <c r="M244" s="50"/>
      <c r="N244" s="22"/>
      <c r="Q244" s="78"/>
      <c r="T244" s="50"/>
      <c r="U244" s="11"/>
      <c r="V244" s="19"/>
    </row>
    <row r="245" ht="15.75" customHeight="1">
      <c r="A245" s="104"/>
      <c r="E245" s="11"/>
      <c r="F245" s="11"/>
      <c r="G245" s="49"/>
      <c r="H245" s="11"/>
      <c r="I245" s="19"/>
      <c r="J245" s="19"/>
      <c r="L245" s="11"/>
      <c r="M245" s="50"/>
      <c r="N245" s="22"/>
      <c r="Q245" s="78"/>
      <c r="T245" s="50"/>
      <c r="U245" s="11"/>
      <c r="V245" s="19"/>
    </row>
    <row r="246" ht="15.75" customHeight="1">
      <c r="A246" s="104"/>
      <c r="E246" s="11"/>
      <c r="F246" s="11"/>
      <c r="G246" s="49"/>
      <c r="H246" s="11"/>
      <c r="I246" s="19"/>
      <c r="J246" s="19"/>
      <c r="L246" s="11"/>
      <c r="M246" s="50"/>
      <c r="N246" s="22"/>
      <c r="Q246" s="78"/>
      <c r="T246" s="50"/>
      <c r="U246" s="11"/>
      <c r="V246" s="19"/>
    </row>
    <row r="247" ht="15.75" customHeight="1">
      <c r="A247" s="104"/>
      <c r="E247" s="11"/>
      <c r="F247" s="11"/>
      <c r="G247" s="49"/>
      <c r="H247" s="11"/>
      <c r="I247" s="19"/>
      <c r="J247" s="19"/>
      <c r="L247" s="11"/>
      <c r="M247" s="50"/>
      <c r="N247" s="22"/>
      <c r="Q247" s="78"/>
      <c r="T247" s="50"/>
      <c r="U247" s="11"/>
      <c r="V247" s="19"/>
    </row>
    <row r="248" ht="15.75" customHeight="1">
      <c r="A248" s="104"/>
      <c r="E248" s="11"/>
      <c r="F248" s="11"/>
      <c r="G248" s="49"/>
      <c r="H248" s="11"/>
      <c r="I248" s="19"/>
      <c r="J248" s="19"/>
      <c r="L248" s="11"/>
      <c r="M248" s="50"/>
      <c r="N248" s="22"/>
      <c r="Q248" s="78"/>
      <c r="T248" s="50"/>
      <c r="U248" s="11"/>
      <c r="V248" s="19"/>
    </row>
    <row r="249" ht="15.75" customHeight="1">
      <c r="A249" s="104"/>
      <c r="E249" s="11"/>
      <c r="F249" s="11"/>
      <c r="G249" s="49"/>
      <c r="H249" s="11"/>
      <c r="I249" s="19"/>
      <c r="J249" s="19"/>
      <c r="L249" s="11"/>
      <c r="M249" s="50"/>
      <c r="N249" s="22"/>
      <c r="Q249" s="78"/>
      <c r="T249" s="50"/>
      <c r="U249" s="11"/>
      <c r="V249" s="19"/>
    </row>
    <row r="250" ht="15.75" customHeight="1">
      <c r="A250" s="104"/>
      <c r="E250" s="11"/>
      <c r="F250" s="11"/>
      <c r="G250" s="49"/>
      <c r="H250" s="11"/>
      <c r="I250" s="19"/>
      <c r="J250" s="19"/>
      <c r="L250" s="11"/>
      <c r="M250" s="50"/>
      <c r="N250" s="22"/>
      <c r="Q250" s="78"/>
      <c r="T250" s="50"/>
      <c r="U250" s="11"/>
      <c r="V250" s="19"/>
    </row>
    <row r="251" ht="15.75" customHeight="1">
      <c r="A251" s="104"/>
      <c r="E251" s="11"/>
      <c r="F251" s="11"/>
      <c r="G251" s="49"/>
      <c r="H251" s="11"/>
      <c r="I251" s="19"/>
      <c r="J251" s="19"/>
      <c r="L251" s="11"/>
      <c r="M251" s="50"/>
      <c r="N251" s="22"/>
      <c r="Q251" s="78"/>
      <c r="T251" s="50"/>
      <c r="U251" s="11"/>
      <c r="V251" s="19"/>
    </row>
    <row r="252" ht="15.75" customHeight="1">
      <c r="A252" s="104"/>
      <c r="E252" s="11"/>
      <c r="F252" s="11"/>
      <c r="G252" s="49"/>
      <c r="H252" s="11"/>
      <c r="I252" s="19"/>
      <c r="J252" s="19"/>
      <c r="L252" s="11"/>
      <c r="M252" s="50"/>
      <c r="N252" s="22"/>
      <c r="Q252" s="78"/>
      <c r="T252" s="50"/>
      <c r="U252" s="11"/>
      <c r="V252" s="19"/>
    </row>
    <row r="253" ht="15.75" customHeight="1">
      <c r="A253" s="104"/>
      <c r="E253" s="11"/>
      <c r="F253" s="11"/>
      <c r="G253" s="49"/>
      <c r="H253" s="11"/>
      <c r="I253" s="19"/>
      <c r="J253" s="19"/>
      <c r="L253" s="11"/>
      <c r="M253" s="50"/>
      <c r="N253" s="22"/>
      <c r="Q253" s="78"/>
      <c r="T253" s="50"/>
      <c r="U253" s="11"/>
      <c r="V253" s="19"/>
    </row>
    <row r="254" ht="15.75" customHeight="1">
      <c r="A254" s="104"/>
      <c r="E254" s="11"/>
      <c r="F254" s="11"/>
      <c r="G254" s="49"/>
      <c r="H254" s="11"/>
      <c r="I254" s="19"/>
      <c r="J254" s="19"/>
      <c r="L254" s="11"/>
      <c r="M254" s="50"/>
      <c r="N254" s="22"/>
      <c r="Q254" s="78"/>
      <c r="T254" s="50"/>
      <c r="U254" s="11"/>
      <c r="V254" s="19"/>
    </row>
    <row r="255" ht="15.75" customHeight="1">
      <c r="A255" s="104"/>
      <c r="E255" s="11"/>
      <c r="F255" s="11"/>
      <c r="G255" s="49"/>
      <c r="H255" s="11"/>
      <c r="I255" s="19"/>
      <c r="J255" s="19"/>
      <c r="L255" s="11"/>
      <c r="M255" s="50"/>
      <c r="N255" s="22"/>
      <c r="Q255" s="78"/>
      <c r="T255" s="50"/>
      <c r="U255" s="11"/>
      <c r="V255" s="19"/>
    </row>
    <row r="256" ht="15.75" customHeight="1">
      <c r="A256" s="104"/>
      <c r="E256" s="11"/>
      <c r="F256" s="11"/>
      <c r="G256" s="49"/>
      <c r="H256" s="11"/>
      <c r="I256" s="19"/>
      <c r="J256" s="19"/>
      <c r="L256" s="11"/>
      <c r="M256" s="50"/>
      <c r="N256" s="22"/>
      <c r="Q256" s="78"/>
      <c r="T256" s="50"/>
      <c r="U256" s="11"/>
      <c r="V256" s="19"/>
    </row>
    <row r="257" ht="15.75" customHeight="1">
      <c r="A257" s="104"/>
      <c r="E257" s="11"/>
      <c r="F257" s="11"/>
      <c r="G257" s="49"/>
      <c r="H257" s="11"/>
      <c r="I257" s="19"/>
      <c r="J257" s="19"/>
      <c r="L257" s="11"/>
      <c r="M257" s="50"/>
      <c r="N257" s="22"/>
      <c r="Q257" s="78"/>
      <c r="T257" s="50"/>
      <c r="U257" s="11"/>
      <c r="V257" s="19"/>
    </row>
    <row r="258" ht="15.75" customHeight="1">
      <c r="A258" s="104"/>
      <c r="E258" s="11"/>
      <c r="F258" s="11"/>
      <c r="G258" s="49"/>
      <c r="H258" s="11"/>
      <c r="I258" s="19"/>
      <c r="J258" s="19"/>
      <c r="L258" s="11"/>
      <c r="M258" s="50"/>
      <c r="N258" s="22"/>
      <c r="Q258" s="78"/>
      <c r="T258" s="50"/>
      <c r="U258" s="11"/>
      <c r="V258" s="19"/>
    </row>
    <row r="259" ht="15.75" customHeight="1">
      <c r="A259" s="104"/>
      <c r="E259" s="11"/>
      <c r="F259" s="11"/>
      <c r="G259" s="49"/>
      <c r="H259" s="11"/>
      <c r="I259" s="19"/>
      <c r="J259" s="19"/>
      <c r="L259" s="11"/>
      <c r="M259" s="50"/>
      <c r="N259" s="22"/>
      <c r="Q259" s="78"/>
      <c r="T259" s="50"/>
      <c r="U259" s="11"/>
      <c r="V259" s="19"/>
    </row>
    <row r="260" ht="15.75" customHeight="1">
      <c r="A260" s="104"/>
      <c r="E260" s="11"/>
      <c r="F260" s="11"/>
      <c r="G260" s="49"/>
      <c r="H260" s="11"/>
      <c r="I260" s="19"/>
      <c r="J260" s="19"/>
      <c r="L260" s="11"/>
      <c r="M260" s="50"/>
      <c r="N260" s="22"/>
      <c r="Q260" s="78"/>
      <c r="T260" s="50"/>
      <c r="U260" s="11"/>
      <c r="V260" s="19"/>
    </row>
    <row r="261" ht="15.75" customHeight="1">
      <c r="A261" s="104"/>
      <c r="E261" s="11"/>
      <c r="F261" s="11"/>
      <c r="G261" s="49"/>
      <c r="H261" s="11"/>
      <c r="I261" s="19"/>
      <c r="J261" s="19"/>
      <c r="L261" s="11"/>
      <c r="M261" s="50"/>
      <c r="N261" s="22"/>
      <c r="Q261" s="78"/>
      <c r="T261" s="50"/>
      <c r="U261" s="11"/>
      <c r="V261" s="19"/>
    </row>
    <row r="262" ht="15.75" customHeight="1">
      <c r="A262" s="104"/>
      <c r="E262" s="11"/>
      <c r="F262" s="11"/>
      <c r="G262" s="49"/>
      <c r="H262" s="11"/>
      <c r="I262" s="19"/>
      <c r="J262" s="19"/>
      <c r="L262" s="11"/>
      <c r="M262" s="50"/>
      <c r="N262" s="22"/>
      <c r="Q262" s="78"/>
      <c r="T262" s="50"/>
      <c r="U262" s="11"/>
      <c r="V262" s="19"/>
    </row>
    <row r="263" ht="15.75" customHeight="1">
      <c r="A263" s="104"/>
      <c r="E263" s="11"/>
      <c r="F263" s="11"/>
      <c r="G263" s="49"/>
      <c r="H263" s="11"/>
      <c r="I263" s="19"/>
      <c r="J263" s="19"/>
      <c r="L263" s="11"/>
      <c r="M263" s="50"/>
      <c r="N263" s="22"/>
      <c r="Q263" s="78"/>
      <c r="T263" s="50"/>
      <c r="U263" s="11"/>
      <c r="V263" s="19"/>
    </row>
    <row r="264" ht="15.75" customHeight="1">
      <c r="A264" s="104"/>
      <c r="E264" s="11"/>
      <c r="F264" s="11"/>
      <c r="G264" s="49"/>
      <c r="H264" s="11"/>
      <c r="I264" s="19"/>
      <c r="J264" s="19"/>
      <c r="L264" s="11"/>
      <c r="M264" s="50"/>
      <c r="N264" s="22"/>
      <c r="Q264" s="78"/>
      <c r="T264" s="50"/>
      <c r="U264" s="11"/>
      <c r="V264" s="19"/>
    </row>
    <row r="265" ht="15.75" customHeight="1">
      <c r="A265" s="104"/>
      <c r="E265" s="11"/>
      <c r="F265" s="11"/>
      <c r="G265" s="49"/>
      <c r="H265" s="11"/>
      <c r="I265" s="19"/>
      <c r="J265" s="19"/>
      <c r="L265" s="11"/>
      <c r="M265" s="50"/>
      <c r="N265" s="22"/>
      <c r="Q265" s="78"/>
      <c r="T265" s="50"/>
      <c r="U265" s="11"/>
      <c r="V265" s="19"/>
    </row>
    <row r="266" ht="15.75" customHeight="1">
      <c r="A266" s="104"/>
      <c r="E266" s="11"/>
      <c r="F266" s="11"/>
      <c r="G266" s="49"/>
      <c r="H266" s="11"/>
      <c r="I266" s="19"/>
      <c r="J266" s="19"/>
      <c r="L266" s="11"/>
      <c r="M266" s="50"/>
      <c r="N266" s="22"/>
      <c r="Q266" s="78"/>
      <c r="T266" s="50"/>
      <c r="U266" s="11"/>
      <c r="V266" s="19"/>
    </row>
    <row r="267" ht="15.75" customHeight="1">
      <c r="A267" s="104"/>
      <c r="E267" s="11"/>
      <c r="F267" s="11"/>
      <c r="G267" s="49"/>
      <c r="H267" s="11"/>
      <c r="I267" s="19"/>
      <c r="J267" s="19"/>
      <c r="L267" s="11"/>
      <c r="M267" s="50"/>
      <c r="N267" s="22"/>
      <c r="Q267" s="78"/>
      <c r="T267" s="50"/>
      <c r="U267" s="11"/>
      <c r="V267" s="19"/>
    </row>
    <row r="268" ht="15.75" customHeight="1">
      <c r="A268" s="104"/>
      <c r="E268" s="11"/>
      <c r="F268" s="11"/>
      <c r="G268" s="49"/>
      <c r="H268" s="11"/>
      <c r="I268" s="19"/>
      <c r="J268" s="19"/>
      <c r="L268" s="11"/>
      <c r="M268" s="50"/>
      <c r="N268" s="22"/>
      <c r="Q268" s="78"/>
      <c r="T268" s="50"/>
      <c r="U268" s="11"/>
      <c r="V268" s="19"/>
    </row>
    <row r="269" ht="15.75" customHeight="1">
      <c r="A269" s="104"/>
      <c r="E269" s="11"/>
      <c r="F269" s="11"/>
      <c r="G269" s="49"/>
      <c r="H269" s="11"/>
      <c r="I269" s="19"/>
      <c r="J269" s="19"/>
      <c r="L269" s="11"/>
      <c r="M269" s="50"/>
      <c r="N269" s="22"/>
      <c r="Q269" s="78"/>
      <c r="T269" s="50"/>
      <c r="U269" s="11"/>
      <c r="V269" s="19"/>
    </row>
    <row r="270" ht="15.75" customHeight="1">
      <c r="A270" s="104"/>
      <c r="E270" s="11"/>
      <c r="F270" s="11"/>
      <c r="G270" s="49"/>
      <c r="H270" s="11"/>
      <c r="I270" s="19"/>
      <c r="J270" s="19"/>
      <c r="L270" s="11"/>
      <c r="M270" s="50"/>
      <c r="N270" s="22"/>
      <c r="Q270" s="78"/>
      <c r="T270" s="50"/>
      <c r="U270" s="11"/>
      <c r="V270" s="19"/>
    </row>
    <row r="271" ht="15.75" customHeight="1">
      <c r="A271" s="104"/>
      <c r="E271" s="11"/>
      <c r="F271" s="11"/>
      <c r="G271" s="49"/>
      <c r="H271" s="11"/>
      <c r="I271" s="19"/>
      <c r="J271" s="19"/>
      <c r="L271" s="11"/>
      <c r="M271" s="50"/>
      <c r="N271" s="22"/>
      <c r="Q271" s="78"/>
      <c r="T271" s="50"/>
      <c r="U271" s="11"/>
      <c r="V271" s="19"/>
    </row>
    <row r="272" ht="15.75" customHeight="1">
      <c r="A272" s="104"/>
      <c r="E272" s="11"/>
      <c r="F272" s="11"/>
      <c r="G272" s="49"/>
      <c r="H272" s="11"/>
      <c r="I272" s="19"/>
      <c r="J272" s="19"/>
      <c r="L272" s="11"/>
      <c r="M272" s="50"/>
      <c r="N272" s="22"/>
      <c r="Q272" s="78"/>
      <c r="T272" s="50"/>
      <c r="U272" s="11"/>
      <c r="V272" s="19"/>
    </row>
    <row r="273" ht="15.75" customHeight="1">
      <c r="A273" s="104"/>
      <c r="E273" s="11"/>
      <c r="F273" s="11"/>
      <c r="G273" s="49"/>
      <c r="H273" s="11"/>
      <c r="I273" s="19"/>
      <c r="J273" s="19"/>
      <c r="L273" s="11"/>
      <c r="M273" s="50"/>
      <c r="N273" s="22"/>
      <c r="Q273" s="78"/>
      <c r="T273" s="50"/>
      <c r="U273" s="11"/>
      <c r="V273" s="19"/>
    </row>
    <row r="274" ht="15.75" customHeight="1">
      <c r="A274" s="104"/>
      <c r="E274" s="11"/>
      <c r="F274" s="11"/>
      <c r="G274" s="49"/>
      <c r="H274" s="11"/>
      <c r="I274" s="19"/>
      <c r="J274" s="19"/>
      <c r="L274" s="11"/>
      <c r="M274" s="50"/>
      <c r="N274" s="22"/>
      <c r="Q274" s="78"/>
      <c r="T274" s="50"/>
      <c r="U274" s="11"/>
      <c r="V274" s="19"/>
    </row>
    <row r="275" ht="15.75" customHeight="1">
      <c r="A275" s="104"/>
      <c r="E275" s="11"/>
      <c r="F275" s="11"/>
      <c r="G275" s="49"/>
      <c r="H275" s="11"/>
      <c r="I275" s="19"/>
      <c r="J275" s="19"/>
      <c r="L275" s="11"/>
      <c r="M275" s="50"/>
      <c r="N275" s="22"/>
      <c r="Q275" s="78"/>
      <c r="T275" s="50"/>
      <c r="U275" s="11"/>
      <c r="V275" s="19"/>
    </row>
    <row r="276" ht="15.75" customHeight="1">
      <c r="A276" s="104"/>
      <c r="E276" s="11"/>
      <c r="F276" s="11"/>
      <c r="G276" s="49"/>
      <c r="H276" s="11"/>
      <c r="I276" s="19"/>
      <c r="J276" s="19"/>
      <c r="L276" s="11"/>
      <c r="M276" s="50"/>
      <c r="N276" s="22"/>
      <c r="Q276" s="78"/>
      <c r="T276" s="50"/>
      <c r="U276" s="11"/>
      <c r="V276" s="19"/>
    </row>
    <row r="277" ht="15.75" customHeight="1">
      <c r="A277" s="104"/>
      <c r="E277" s="11"/>
      <c r="F277" s="11"/>
      <c r="G277" s="49"/>
      <c r="H277" s="11"/>
      <c r="I277" s="19"/>
      <c r="J277" s="19"/>
      <c r="L277" s="11"/>
      <c r="M277" s="50"/>
      <c r="N277" s="22"/>
      <c r="Q277" s="78"/>
      <c r="T277" s="50"/>
      <c r="U277" s="11"/>
      <c r="V277" s="19"/>
    </row>
    <row r="278" ht="15.75" customHeight="1">
      <c r="A278" s="104"/>
      <c r="E278" s="11"/>
      <c r="F278" s="11"/>
      <c r="G278" s="49"/>
      <c r="H278" s="11"/>
      <c r="I278" s="19"/>
      <c r="J278" s="19"/>
      <c r="L278" s="11"/>
      <c r="M278" s="50"/>
      <c r="N278" s="22"/>
      <c r="Q278" s="78"/>
      <c r="T278" s="50"/>
      <c r="U278" s="11"/>
      <c r="V278" s="19"/>
    </row>
    <row r="279" ht="15.75" customHeight="1">
      <c r="A279" s="104"/>
      <c r="E279" s="11"/>
      <c r="F279" s="11"/>
      <c r="G279" s="49"/>
      <c r="H279" s="11"/>
      <c r="I279" s="19"/>
      <c r="J279" s="19"/>
      <c r="L279" s="11"/>
      <c r="M279" s="50"/>
      <c r="N279" s="22"/>
      <c r="Q279" s="78"/>
      <c r="T279" s="50"/>
      <c r="U279" s="11"/>
      <c r="V279" s="19"/>
    </row>
    <row r="280" ht="15.75" customHeight="1">
      <c r="A280" s="104"/>
      <c r="E280" s="11"/>
      <c r="F280" s="11"/>
      <c r="G280" s="49"/>
      <c r="H280" s="11"/>
      <c r="I280" s="19"/>
      <c r="J280" s="19"/>
      <c r="L280" s="11"/>
      <c r="M280" s="50"/>
      <c r="N280" s="22"/>
      <c r="Q280" s="78"/>
      <c r="T280" s="50"/>
      <c r="U280" s="11"/>
      <c r="V280" s="19"/>
    </row>
    <row r="281" ht="15.75" customHeight="1">
      <c r="A281" s="104"/>
      <c r="E281" s="11"/>
      <c r="F281" s="11"/>
      <c r="G281" s="49"/>
      <c r="H281" s="11"/>
      <c r="I281" s="19"/>
      <c r="J281" s="19"/>
      <c r="L281" s="11"/>
      <c r="M281" s="50"/>
      <c r="N281" s="22"/>
      <c r="Q281" s="78"/>
      <c r="T281" s="50"/>
      <c r="U281" s="11"/>
      <c r="V281" s="19"/>
    </row>
    <row r="282" ht="15.75" customHeight="1">
      <c r="A282" s="104"/>
      <c r="E282" s="11"/>
      <c r="F282" s="11"/>
      <c r="G282" s="49"/>
      <c r="H282" s="11"/>
      <c r="I282" s="19"/>
      <c r="J282" s="19"/>
      <c r="L282" s="11"/>
      <c r="M282" s="50"/>
      <c r="N282" s="22"/>
      <c r="Q282" s="78"/>
      <c r="T282" s="50"/>
      <c r="U282" s="11"/>
      <c r="V282" s="19"/>
    </row>
    <row r="283" ht="15.75" customHeight="1">
      <c r="A283" s="104"/>
      <c r="E283" s="11"/>
      <c r="F283" s="11"/>
      <c r="G283" s="49"/>
      <c r="H283" s="11"/>
      <c r="I283" s="19"/>
      <c r="J283" s="19"/>
      <c r="L283" s="11"/>
      <c r="M283" s="50"/>
      <c r="N283" s="22"/>
      <c r="Q283" s="78"/>
      <c r="T283" s="50"/>
      <c r="U283" s="11"/>
      <c r="V283" s="19"/>
    </row>
    <row r="284" ht="15.75" customHeight="1">
      <c r="A284" s="104"/>
      <c r="E284" s="11"/>
      <c r="F284" s="11"/>
      <c r="G284" s="49"/>
      <c r="H284" s="11"/>
      <c r="I284" s="19"/>
      <c r="J284" s="19"/>
      <c r="L284" s="11"/>
      <c r="M284" s="50"/>
      <c r="N284" s="22"/>
      <c r="Q284" s="78"/>
      <c r="T284" s="50"/>
      <c r="U284" s="11"/>
      <c r="V284" s="19"/>
    </row>
    <row r="285" ht="15.75" customHeight="1">
      <c r="A285" s="104"/>
      <c r="E285" s="11"/>
      <c r="F285" s="11"/>
      <c r="G285" s="49"/>
      <c r="H285" s="11"/>
      <c r="I285" s="19"/>
      <c r="J285" s="19"/>
      <c r="L285" s="11"/>
      <c r="M285" s="50"/>
      <c r="N285" s="22"/>
      <c r="Q285" s="78"/>
      <c r="T285" s="50"/>
      <c r="U285" s="11"/>
      <c r="V285" s="19"/>
    </row>
    <row r="286" ht="15.75" customHeight="1">
      <c r="A286" s="104"/>
      <c r="E286" s="11"/>
      <c r="F286" s="11"/>
      <c r="G286" s="49"/>
      <c r="H286" s="11"/>
      <c r="I286" s="19"/>
      <c r="J286" s="19"/>
      <c r="L286" s="11"/>
      <c r="M286" s="50"/>
      <c r="N286" s="22"/>
      <c r="Q286" s="78"/>
      <c r="T286" s="50"/>
      <c r="U286" s="11"/>
      <c r="V286" s="19"/>
    </row>
    <row r="287" ht="15.75" customHeight="1">
      <c r="A287" s="104"/>
      <c r="E287" s="11"/>
      <c r="F287" s="11"/>
      <c r="G287" s="49"/>
      <c r="H287" s="11"/>
      <c r="I287" s="19"/>
      <c r="J287" s="19"/>
      <c r="L287" s="11"/>
      <c r="M287" s="50"/>
      <c r="N287" s="22"/>
      <c r="Q287" s="78"/>
      <c r="T287" s="50"/>
      <c r="U287" s="11"/>
      <c r="V287" s="19"/>
    </row>
    <row r="288" ht="15.75" customHeight="1">
      <c r="A288" s="104"/>
      <c r="E288" s="11"/>
      <c r="F288" s="11"/>
      <c r="G288" s="49"/>
      <c r="H288" s="11"/>
      <c r="I288" s="19"/>
      <c r="J288" s="19"/>
      <c r="L288" s="11"/>
      <c r="M288" s="50"/>
      <c r="N288" s="22"/>
      <c r="Q288" s="78"/>
      <c r="T288" s="50"/>
      <c r="U288" s="11"/>
      <c r="V288" s="19"/>
    </row>
    <row r="289" ht="15.75" customHeight="1">
      <c r="A289" s="104"/>
      <c r="E289" s="11"/>
      <c r="F289" s="11"/>
      <c r="G289" s="49"/>
      <c r="H289" s="11"/>
      <c r="I289" s="19"/>
      <c r="J289" s="19"/>
      <c r="L289" s="11"/>
      <c r="M289" s="50"/>
      <c r="N289" s="22"/>
      <c r="Q289" s="78"/>
      <c r="T289" s="50"/>
      <c r="U289" s="11"/>
      <c r="V289" s="19"/>
    </row>
    <row r="290" ht="15.75" customHeight="1">
      <c r="A290" s="104"/>
      <c r="E290" s="11"/>
      <c r="F290" s="11"/>
      <c r="G290" s="49"/>
      <c r="H290" s="11"/>
      <c r="I290" s="19"/>
      <c r="J290" s="19"/>
      <c r="L290" s="11"/>
      <c r="M290" s="50"/>
      <c r="N290" s="22"/>
      <c r="Q290" s="78"/>
      <c r="T290" s="50"/>
      <c r="U290" s="11"/>
      <c r="V290" s="19"/>
    </row>
    <row r="291" ht="15.75" customHeight="1">
      <c r="A291" s="104"/>
      <c r="E291" s="11"/>
      <c r="F291" s="11"/>
      <c r="G291" s="49"/>
      <c r="H291" s="11"/>
      <c r="I291" s="19"/>
      <c r="J291" s="19"/>
      <c r="L291" s="11"/>
      <c r="M291" s="50"/>
      <c r="N291" s="22"/>
      <c r="Q291" s="78"/>
      <c r="T291" s="50"/>
      <c r="U291" s="11"/>
      <c r="V291" s="19"/>
    </row>
    <row r="292" ht="15.75" customHeight="1">
      <c r="A292" s="104"/>
      <c r="E292" s="11"/>
      <c r="F292" s="11"/>
      <c r="G292" s="49"/>
      <c r="H292" s="11"/>
      <c r="I292" s="19"/>
      <c r="J292" s="19"/>
      <c r="L292" s="11"/>
      <c r="M292" s="50"/>
      <c r="N292" s="22"/>
      <c r="Q292" s="78"/>
      <c r="T292" s="50"/>
      <c r="U292" s="11"/>
      <c r="V292" s="19"/>
    </row>
    <row r="293" ht="15.75" customHeight="1">
      <c r="A293" s="104"/>
      <c r="E293" s="11"/>
      <c r="F293" s="11"/>
      <c r="G293" s="49"/>
      <c r="H293" s="11"/>
      <c r="I293" s="19"/>
      <c r="J293" s="19"/>
      <c r="L293" s="11"/>
      <c r="M293" s="50"/>
      <c r="N293" s="22"/>
      <c r="Q293" s="78"/>
      <c r="T293" s="50"/>
      <c r="U293" s="11"/>
      <c r="V293" s="19"/>
    </row>
    <row r="294" ht="15.75" customHeight="1">
      <c r="A294" s="104"/>
      <c r="E294" s="11"/>
      <c r="F294" s="11"/>
      <c r="G294" s="49"/>
      <c r="H294" s="11"/>
      <c r="I294" s="19"/>
      <c r="J294" s="19"/>
      <c r="L294" s="11"/>
      <c r="M294" s="50"/>
      <c r="N294" s="22"/>
      <c r="Q294" s="78"/>
      <c r="T294" s="50"/>
      <c r="U294" s="11"/>
      <c r="V294" s="19"/>
    </row>
    <row r="295" ht="15.75" customHeight="1">
      <c r="A295" s="104"/>
      <c r="E295" s="11"/>
      <c r="F295" s="11"/>
      <c r="G295" s="49"/>
      <c r="H295" s="11"/>
      <c r="I295" s="19"/>
      <c r="J295" s="19"/>
      <c r="L295" s="11"/>
      <c r="M295" s="50"/>
      <c r="N295" s="22"/>
      <c r="Q295" s="78"/>
      <c r="T295" s="50"/>
      <c r="U295" s="11"/>
      <c r="V295" s="19"/>
    </row>
    <row r="296" ht="15.75" customHeight="1">
      <c r="A296" s="104"/>
      <c r="E296" s="11"/>
      <c r="F296" s="11"/>
      <c r="G296" s="49"/>
      <c r="H296" s="11"/>
      <c r="I296" s="19"/>
      <c r="J296" s="19"/>
      <c r="L296" s="11"/>
      <c r="M296" s="50"/>
      <c r="N296" s="22"/>
      <c r="Q296" s="78"/>
      <c r="T296" s="50"/>
      <c r="U296" s="11"/>
      <c r="V296" s="19"/>
    </row>
    <row r="297" ht="15.75" customHeight="1">
      <c r="A297" s="104"/>
      <c r="E297" s="11"/>
      <c r="F297" s="11"/>
      <c r="G297" s="49"/>
      <c r="H297" s="11"/>
      <c r="I297" s="19"/>
      <c r="J297" s="19"/>
      <c r="L297" s="11"/>
      <c r="M297" s="50"/>
      <c r="N297" s="22"/>
      <c r="Q297" s="78"/>
      <c r="T297" s="50"/>
      <c r="U297" s="11"/>
      <c r="V297" s="19"/>
    </row>
    <row r="298" ht="15.75" customHeight="1">
      <c r="A298" s="104"/>
      <c r="E298" s="11"/>
      <c r="F298" s="11"/>
      <c r="G298" s="49"/>
      <c r="H298" s="11"/>
      <c r="I298" s="19"/>
      <c r="J298" s="19"/>
      <c r="L298" s="11"/>
      <c r="M298" s="50"/>
      <c r="N298" s="22"/>
      <c r="Q298" s="78"/>
      <c r="T298" s="50"/>
      <c r="U298" s="11"/>
      <c r="V298" s="19"/>
    </row>
    <row r="299" ht="15.75" customHeight="1">
      <c r="A299" s="104"/>
      <c r="E299" s="11"/>
      <c r="F299" s="11"/>
      <c r="G299" s="49"/>
      <c r="H299" s="11"/>
      <c r="I299" s="19"/>
      <c r="J299" s="19"/>
      <c r="L299" s="11"/>
      <c r="M299" s="50"/>
      <c r="N299" s="22"/>
      <c r="Q299" s="78"/>
      <c r="T299" s="50"/>
      <c r="U299" s="11"/>
      <c r="V299" s="19"/>
    </row>
    <row r="300" ht="15.75" customHeight="1">
      <c r="A300" s="104"/>
      <c r="E300" s="11"/>
      <c r="F300" s="11"/>
      <c r="G300" s="49"/>
      <c r="H300" s="11"/>
      <c r="I300" s="19"/>
      <c r="J300" s="19"/>
      <c r="L300" s="11"/>
      <c r="M300" s="50"/>
      <c r="N300" s="22"/>
      <c r="Q300" s="78"/>
      <c r="T300" s="50"/>
      <c r="U300" s="11"/>
      <c r="V300" s="19"/>
    </row>
    <row r="301" ht="15.75" customHeight="1">
      <c r="A301" s="104"/>
      <c r="E301" s="11"/>
      <c r="F301" s="11"/>
      <c r="G301" s="49"/>
      <c r="H301" s="11"/>
      <c r="I301" s="19"/>
      <c r="J301" s="19"/>
      <c r="L301" s="11"/>
      <c r="M301" s="50"/>
      <c r="N301" s="22"/>
      <c r="Q301" s="78"/>
      <c r="T301" s="50"/>
      <c r="U301" s="11"/>
      <c r="V301" s="19"/>
    </row>
    <row r="302" ht="15.75" customHeight="1">
      <c r="A302" s="104"/>
      <c r="E302" s="11"/>
      <c r="F302" s="11"/>
      <c r="G302" s="49"/>
      <c r="H302" s="11"/>
      <c r="I302" s="19"/>
      <c r="J302" s="19"/>
      <c r="L302" s="11"/>
      <c r="M302" s="50"/>
      <c r="N302" s="22"/>
      <c r="Q302" s="78"/>
      <c r="T302" s="50"/>
      <c r="U302" s="11"/>
      <c r="V302" s="19"/>
    </row>
    <row r="303" ht="15.75" customHeight="1">
      <c r="A303" s="104"/>
      <c r="E303" s="11"/>
      <c r="F303" s="11"/>
      <c r="G303" s="49"/>
      <c r="H303" s="11"/>
      <c r="I303" s="19"/>
      <c r="J303" s="19"/>
      <c r="L303" s="11"/>
      <c r="M303" s="50"/>
      <c r="N303" s="22"/>
      <c r="Q303" s="78"/>
      <c r="T303" s="50"/>
      <c r="U303" s="11"/>
      <c r="V303" s="19"/>
    </row>
    <row r="304" ht="15.75" customHeight="1">
      <c r="A304" s="104"/>
      <c r="E304" s="11"/>
      <c r="F304" s="11"/>
      <c r="G304" s="49"/>
      <c r="H304" s="11"/>
      <c r="I304" s="19"/>
      <c r="J304" s="19"/>
      <c r="L304" s="11"/>
      <c r="M304" s="50"/>
      <c r="N304" s="22"/>
      <c r="Q304" s="78"/>
      <c r="T304" s="50"/>
      <c r="U304" s="11"/>
      <c r="V304" s="19"/>
    </row>
    <row r="305" ht="15.75" customHeight="1">
      <c r="A305" s="104"/>
      <c r="E305" s="11"/>
      <c r="F305" s="11"/>
      <c r="G305" s="49"/>
      <c r="H305" s="11"/>
      <c r="I305" s="19"/>
      <c r="J305" s="19"/>
      <c r="L305" s="11"/>
      <c r="M305" s="50"/>
      <c r="N305" s="22"/>
      <c r="Q305" s="78"/>
      <c r="T305" s="50"/>
      <c r="U305" s="11"/>
      <c r="V305" s="19"/>
    </row>
    <row r="306" ht="15.75" customHeight="1">
      <c r="A306" s="104"/>
      <c r="E306" s="11"/>
      <c r="F306" s="11"/>
      <c r="G306" s="49"/>
      <c r="H306" s="11"/>
      <c r="I306" s="19"/>
      <c r="J306" s="19"/>
      <c r="L306" s="11"/>
      <c r="M306" s="50"/>
      <c r="N306" s="22"/>
      <c r="Q306" s="78"/>
      <c r="T306" s="50"/>
      <c r="U306" s="11"/>
      <c r="V306" s="19"/>
    </row>
    <row r="307" ht="15.75" customHeight="1">
      <c r="A307" s="104"/>
      <c r="E307" s="11"/>
      <c r="F307" s="11"/>
      <c r="G307" s="49"/>
      <c r="H307" s="11"/>
      <c r="I307" s="19"/>
      <c r="J307" s="19"/>
      <c r="L307" s="11"/>
      <c r="M307" s="50"/>
      <c r="N307" s="22"/>
      <c r="Q307" s="78"/>
      <c r="T307" s="50"/>
      <c r="U307" s="11"/>
      <c r="V307" s="19"/>
    </row>
    <row r="308" ht="15.75" customHeight="1">
      <c r="A308" s="104"/>
      <c r="E308" s="11"/>
      <c r="F308" s="11"/>
      <c r="G308" s="49"/>
      <c r="H308" s="11"/>
      <c r="I308" s="19"/>
      <c r="J308" s="19"/>
      <c r="L308" s="11"/>
      <c r="M308" s="50"/>
      <c r="N308" s="22"/>
      <c r="Q308" s="78"/>
      <c r="T308" s="50"/>
      <c r="U308" s="11"/>
      <c r="V308" s="19"/>
    </row>
    <row r="309" ht="15.75" customHeight="1">
      <c r="A309" s="104"/>
      <c r="E309" s="11"/>
      <c r="F309" s="11"/>
      <c r="G309" s="49"/>
      <c r="H309" s="11"/>
      <c r="I309" s="19"/>
      <c r="J309" s="19"/>
      <c r="L309" s="11"/>
      <c r="M309" s="50"/>
      <c r="N309" s="22"/>
      <c r="Q309" s="78"/>
      <c r="T309" s="50"/>
      <c r="U309" s="11"/>
      <c r="V309" s="19"/>
    </row>
    <row r="310" ht="15.75" customHeight="1">
      <c r="A310" s="104"/>
      <c r="E310" s="11"/>
      <c r="F310" s="11"/>
      <c r="G310" s="49"/>
      <c r="H310" s="11"/>
      <c r="I310" s="19"/>
      <c r="J310" s="19"/>
      <c r="L310" s="11"/>
      <c r="M310" s="50"/>
      <c r="N310" s="22"/>
      <c r="Q310" s="78"/>
      <c r="T310" s="50"/>
      <c r="U310" s="11"/>
      <c r="V310" s="19"/>
    </row>
    <row r="311" ht="15.75" customHeight="1">
      <c r="A311" s="104"/>
      <c r="E311" s="11"/>
      <c r="F311" s="11"/>
      <c r="G311" s="49"/>
      <c r="H311" s="11"/>
      <c r="I311" s="19"/>
      <c r="J311" s="19"/>
      <c r="L311" s="11"/>
      <c r="M311" s="50"/>
      <c r="N311" s="22"/>
      <c r="Q311" s="78"/>
      <c r="T311" s="50"/>
      <c r="U311" s="11"/>
      <c r="V311" s="19"/>
    </row>
    <row r="312" ht="15.75" customHeight="1">
      <c r="A312" s="104"/>
      <c r="E312" s="11"/>
      <c r="F312" s="11"/>
      <c r="G312" s="49"/>
      <c r="H312" s="11"/>
      <c r="I312" s="19"/>
      <c r="J312" s="19"/>
      <c r="L312" s="11"/>
      <c r="M312" s="50"/>
      <c r="N312" s="22"/>
      <c r="Q312" s="78"/>
      <c r="T312" s="50"/>
      <c r="U312" s="11"/>
      <c r="V312" s="19"/>
    </row>
    <row r="313" ht="15.75" customHeight="1">
      <c r="A313" s="104"/>
      <c r="E313" s="11"/>
      <c r="F313" s="11"/>
      <c r="G313" s="49"/>
      <c r="H313" s="11"/>
      <c r="I313" s="19"/>
      <c r="J313" s="19"/>
      <c r="L313" s="11"/>
      <c r="M313" s="50"/>
      <c r="N313" s="22"/>
      <c r="Q313" s="78"/>
      <c r="T313" s="50"/>
      <c r="U313" s="11"/>
      <c r="V313" s="19"/>
    </row>
    <row r="314" ht="15.75" customHeight="1">
      <c r="A314" s="104"/>
      <c r="E314" s="11"/>
      <c r="F314" s="11"/>
      <c r="G314" s="49"/>
      <c r="H314" s="11"/>
      <c r="I314" s="19"/>
      <c r="J314" s="19"/>
      <c r="L314" s="11"/>
      <c r="M314" s="50"/>
      <c r="N314" s="22"/>
      <c r="Q314" s="78"/>
      <c r="T314" s="50"/>
      <c r="U314" s="11"/>
      <c r="V314" s="19"/>
    </row>
    <row r="315" ht="15.75" customHeight="1">
      <c r="A315" s="104"/>
      <c r="E315" s="11"/>
      <c r="F315" s="11"/>
      <c r="G315" s="49"/>
      <c r="H315" s="11"/>
      <c r="I315" s="19"/>
      <c r="J315" s="19"/>
      <c r="L315" s="11"/>
      <c r="M315" s="50"/>
      <c r="N315" s="22"/>
      <c r="Q315" s="78"/>
      <c r="T315" s="50"/>
      <c r="U315" s="11"/>
      <c r="V315" s="19"/>
    </row>
    <row r="316" ht="15.75" customHeight="1">
      <c r="A316" s="104"/>
      <c r="E316" s="11"/>
      <c r="F316" s="11"/>
      <c r="G316" s="49"/>
      <c r="H316" s="11"/>
      <c r="I316" s="19"/>
      <c r="J316" s="19"/>
      <c r="L316" s="11"/>
      <c r="M316" s="50"/>
      <c r="N316" s="22"/>
      <c r="Q316" s="78"/>
      <c r="T316" s="50"/>
      <c r="U316" s="11"/>
      <c r="V316" s="19"/>
    </row>
    <row r="317" ht="15.75" customHeight="1">
      <c r="A317" s="104"/>
      <c r="E317" s="11"/>
      <c r="F317" s="11"/>
      <c r="G317" s="49"/>
      <c r="H317" s="11"/>
      <c r="I317" s="19"/>
      <c r="J317" s="19"/>
      <c r="L317" s="11"/>
      <c r="M317" s="50"/>
      <c r="N317" s="22"/>
      <c r="Q317" s="78"/>
      <c r="T317" s="50"/>
      <c r="U317" s="11"/>
      <c r="V317" s="19"/>
    </row>
    <row r="318" ht="15.75" customHeight="1">
      <c r="A318" s="104"/>
      <c r="E318" s="11"/>
      <c r="F318" s="11"/>
      <c r="G318" s="49"/>
      <c r="H318" s="11"/>
      <c r="I318" s="19"/>
      <c r="J318" s="19"/>
      <c r="L318" s="11"/>
      <c r="M318" s="50"/>
      <c r="N318" s="22"/>
      <c r="Q318" s="78"/>
      <c r="T318" s="50"/>
      <c r="U318" s="11"/>
      <c r="V318" s="19"/>
    </row>
    <row r="319" ht="15.75" customHeight="1">
      <c r="A319" s="104"/>
      <c r="E319" s="11"/>
      <c r="F319" s="11"/>
      <c r="G319" s="49"/>
      <c r="H319" s="11"/>
      <c r="I319" s="19"/>
      <c r="J319" s="19"/>
      <c r="L319" s="11"/>
      <c r="M319" s="50"/>
      <c r="N319" s="22"/>
      <c r="Q319" s="78"/>
      <c r="T319" s="50"/>
      <c r="U319" s="11"/>
      <c r="V319" s="19"/>
    </row>
    <row r="320" ht="15.75" customHeight="1">
      <c r="A320" s="104"/>
      <c r="E320" s="11"/>
      <c r="F320" s="11"/>
      <c r="G320" s="49"/>
      <c r="H320" s="11"/>
      <c r="I320" s="19"/>
      <c r="J320" s="19"/>
      <c r="L320" s="11"/>
      <c r="M320" s="50"/>
      <c r="N320" s="22"/>
      <c r="Q320" s="78"/>
      <c r="T320" s="50"/>
      <c r="U320" s="11"/>
      <c r="V320" s="19"/>
    </row>
    <row r="321" ht="15.75" customHeight="1">
      <c r="A321" s="104"/>
      <c r="E321" s="11"/>
      <c r="F321" s="11"/>
      <c r="G321" s="49"/>
      <c r="H321" s="11"/>
      <c r="I321" s="19"/>
      <c r="J321" s="19"/>
      <c r="L321" s="11"/>
      <c r="M321" s="50"/>
      <c r="N321" s="22"/>
      <c r="Q321" s="78"/>
      <c r="T321" s="50"/>
      <c r="U321" s="11"/>
      <c r="V321" s="19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B82:C82"/>
    <mergeCell ref="B89:C89"/>
  </mergeCells>
  <conditionalFormatting sqref="M2">
    <cfRule type="notContainsBlanks" dxfId="5" priority="1">
      <formula>LEN(TRIM(M2))&gt;0</formula>
    </cfRule>
  </conditionalFormatting>
  <conditionalFormatting sqref="N1:O998 P1:P82 P89 P97 P99:P998">
    <cfRule type="cellIs" dxfId="0" priority="2" operator="greaterThan">
      <formula>0</formula>
    </cfRule>
  </conditionalFormatting>
  <conditionalFormatting sqref="N1:O998 P1:P82 P89 P97 P99:P998">
    <cfRule type="cellIs" dxfId="1" priority="3" operator="lessThan">
      <formula>0</formula>
    </cfRule>
  </conditionalFormatting>
  <conditionalFormatting sqref="V1:V998">
    <cfRule type="cellIs" dxfId="3" priority="4" operator="equal">
      <formula>0</formula>
    </cfRule>
  </conditionalFormatting>
  <conditionalFormatting sqref="V3:V7 V11:V14 V18:V22 V26:V32 V36:V41 V45:V49 V53:V55 V59:V65 V69:V71 V75:V78 V82:V95 V103:V115">
    <cfRule type="cellIs" dxfId="4" priority="5" operator="equal">
      <formula>"""NA"""</formula>
    </cfRule>
  </conditionalFormatting>
  <conditionalFormatting sqref="V3:V998">
    <cfRule type="cellIs" dxfId="2" priority="6" operator="greaterThan">
      <formula>0</formula>
    </cfRule>
  </conditionalFormatting>
  <conditionalFormatting sqref="V3:V998">
    <cfRule type="cellIs" dxfId="1" priority="7" operator="lessThan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33.5"/>
    <col customWidth="1" min="3" max="3" width="18.88"/>
    <col customWidth="1" min="4" max="11" width="14.63"/>
  </cols>
  <sheetData>
    <row r="1" ht="15.0" customHeight="1">
      <c r="A1" s="164" t="s">
        <v>60</v>
      </c>
      <c r="B1" s="165" t="s">
        <v>1</v>
      </c>
      <c r="C1" s="165" t="s">
        <v>61</v>
      </c>
      <c r="D1" s="165" t="s">
        <v>248</v>
      </c>
      <c r="E1" s="165" t="s">
        <v>63</v>
      </c>
      <c r="F1" s="166" t="s">
        <v>249</v>
      </c>
      <c r="G1" s="167" t="s">
        <v>250</v>
      </c>
      <c r="H1" s="168" t="s">
        <v>251</v>
      </c>
      <c r="I1" s="169" t="s">
        <v>252</v>
      </c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</row>
    <row r="2" ht="15.75" customHeight="1">
      <c r="A2" s="171" t="s">
        <v>138</v>
      </c>
      <c r="B2" s="172" t="str">
        <f>IFERROR(__xludf.DUMMYFUNCTION("GOOGLEFINANCE(A2,""NAME"")"),"Marathon Petroleum Corp")</f>
        <v>Marathon Petroleum Corp</v>
      </c>
      <c r="C2" s="173" t="s">
        <v>69</v>
      </c>
      <c r="D2" s="173" t="s">
        <v>253</v>
      </c>
      <c r="E2" s="173">
        <v>30.0</v>
      </c>
      <c r="F2" s="173">
        <v>194.63</v>
      </c>
      <c r="G2" s="174">
        <v>46057.0</v>
      </c>
      <c r="H2" s="175" t="str">
        <f>IF(OR(D2="Sell to Trim", D2="Sell to Close"),F2/VLOOKUP(A2, 'Sector Holdings'!$B$3:$M$121, 11, FALSE) - 1, "N/A")</f>
        <v>#N/A</v>
      </c>
      <c r="I2" s="176">
        <f t="shared" ref="I2:I52" si="1">IFS(D2="Sell to Close", F2*E2*1, D2="Sell to Trim", F2*E2*1, D2="Buy to Add", F2*E2*-1, D2="Buy to Open", F2*E2*-1)</f>
        <v>5838.9</v>
      </c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</row>
    <row r="3" ht="15.0" customHeight="1">
      <c r="A3" s="171" t="s">
        <v>254</v>
      </c>
      <c r="B3" s="172" t="str">
        <f>IFERROR(__xludf.DUMMYFUNCTION("GOOGLEFINANCE(A3,""NAME"")"),"Charter Communications Inc")</f>
        <v>Charter Communications Inc</v>
      </c>
      <c r="C3" s="173" t="s">
        <v>69</v>
      </c>
      <c r="D3" s="173" t="s">
        <v>253</v>
      </c>
      <c r="E3" s="173">
        <v>12.0</v>
      </c>
      <c r="F3" s="173">
        <v>226.68</v>
      </c>
      <c r="G3" s="174">
        <v>46057.0</v>
      </c>
      <c r="H3" s="175" t="str">
        <f>IF(OR(D3="Sell to Trim", D3="Sell to Close"),F3/VLOOKUP(A3, 'Sector Holdings'!$B$3:$M$121, 11, FALSE) - 1, "N/A")</f>
        <v>#N/A</v>
      </c>
      <c r="I3" s="176">
        <f t="shared" si="1"/>
        <v>2720.16</v>
      </c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</row>
    <row r="4" ht="15.0" customHeight="1">
      <c r="A4" s="171" t="s">
        <v>140</v>
      </c>
      <c r="B4" s="172" t="str">
        <f>IFERROR(__xludf.DUMMYFUNCTION("GOOGLEFINANCE(A4,""NAME"")"),"CF Industries Holdings, Inc.")</f>
        <v>CF Industries Holdings, Inc.</v>
      </c>
      <c r="C4" s="173" t="s">
        <v>69</v>
      </c>
      <c r="D4" s="173" t="s">
        <v>253</v>
      </c>
      <c r="E4" s="173">
        <v>59.0</v>
      </c>
      <c r="F4" s="173">
        <v>93.65</v>
      </c>
      <c r="G4" s="174">
        <v>46057.0</v>
      </c>
      <c r="H4" s="175" t="str">
        <f>IF(OR(D4="Sell to Trim", D4="Sell to Close"),F4/VLOOKUP(A4, 'Sector Holdings'!$B$3:$M$121, 11, FALSE) - 1, "N/A")</f>
        <v>#N/A</v>
      </c>
      <c r="I4" s="176">
        <f t="shared" si="1"/>
        <v>5525.35</v>
      </c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</row>
    <row r="5" ht="15.0" customHeight="1">
      <c r="A5" s="171" t="s">
        <v>255</v>
      </c>
      <c r="B5" s="172" t="str">
        <f>IFERROR(__xludf.DUMMYFUNCTION("GOOGLEFINANCE(A5,""NAME"")"),"Wynn Resorts Ltd")</f>
        <v>Wynn Resorts Ltd</v>
      </c>
      <c r="C5" s="173" t="s">
        <v>69</v>
      </c>
      <c r="D5" s="173" t="s">
        <v>253</v>
      </c>
      <c r="E5" s="173">
        <v>52.0</v>
      </c>
      <c r="F5" s="173">
        <v>113.69</v>
      </c>
      <c r="G5" s="174">
        <v>46057.0</v>
      </c>
      <c r="H5" s="175" t="str">
        <f>IF(OR(D5="Sell to Trim", D5="Sell to Close"),F5/VLOOKUP(A5, 'Sector Holdings'!$B$3:$M$121, 11, FALSE) - 1, "N/A")</f>
        <v>#N/A</v>
      </c>
      <c r="I5" s="176">
        <f t="shared" si="1"/>
        <v>5911.88</v>
      </c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</row>
    <row r="6" ht="15.0" customHeight="1">
      <c r="A6" s="171" t="s">
        <v>242</v>
      </c>
      <c r="B6" s="172" t="str">
        <f>IFERROR(__xludf.DUMMYFUNCTION("GOOGLEFINANCE(A6,""NAME"")"),"Incyte Corp")</f>
        <v>Incyte Corp</v>
      </c>
      <c r="C6" s="173" t="s">
        <v>69</v>
      </c>
      <c r="D6" s="173" t="s">
        <v>253</v>
      </c>
      <c r="E6" s="173">
        <v>70.0</v>
      </c>
      <c r="F6" s="173">
        <v>101.72</v>
      </c>
      <c r="G6" s="174">
        <v>46057.0</v>
      </c>
      <c r="H6" s="175">
        <f>IF(OR(D6="Sell to Trim", D6="Sell to Close"),F6/VLOOKUP(A6, 'Sector Holdings'!$B$3:$M$121, 11, FALSE) - 1, "N/A")</f>
        <v>-0.02173494903</v>
      </c>
      <c r="I6" s="176">
        <f t="shared" si="1"/>
        <v>7120.4</v>
      </c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</row>
    <row r="7" ht="15.0" customHeight="1">
      <c r="A7" s="23" t="s">
        <v>241</v>
      </c>
      <c r="B7" s="172" t="str">
        <f>IFERROR(__xludf.DUMMYFUNCTION("GOOGLEFINANCE(A7,""NAME"")"),"Pultegroup Inc")</f>
        <v>Pultegroup Inc</v>
      </c>
      <c r="C7" s="173" t="s">
        <v>69</v>
      </c>
      <c r="D7" s="173" t="s">
        <v>253</v>
      </c>
      <c r="E7" s="173">
        <v>42.0</v>
      </c>
      <c r="F7" s="173">
        <v>133.08</v>
      </c>
      <c r="G7" s="174">
        <v>46057.0</v>
      </c>
      <c r="H7" s="175">
        <f>IF(OR(D7="Sell to Trim", D7="Sell to Close"),F6/VLOOKUP(A6, 'Sector Holdings'!$B$3:$M$121, 11, FALSE) - 1, "N/A")</f>
        <v>-0.02173494903</v>
      </c>
      <c r="I7" s="176">
        <f t="shared" si="1"/>
        <v>5589.36</v>
      </c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 ht="15.0" customHeight="1">
      <c r="A8" s="23" t="s">
        <v>256</v>
      </c>
      <c r="B8" s="172" t="str">
        <f>IFERROR(__xludf.DUMMYFUNCTION("GOOGLEFINANCE(A8,""NAME"")"),"EPAM Systems Inc")</f>
        <v>EPAM Systems Inc</v>
      </c>
      <c r="C8" s="173" t="s">
        <v>69</v>
      </c>
      <c r="D8" s="173" t="s">
        <v>253</v>
      </c>
      <c r="E8" s="173">
        <v>23.0</v>
      </c>
      <c r="F8" s="173">
        <v>181.44</v>
      </c>
      <c r="G8" s="174">
        <v>46057.0</v>
      </c>
      <c r="H8" s="175">
        <f>IF(OR(D8="Sell to Trim", D8="Sell to Close"),F7/VLOOKUP(A7, 'Sector Holdings'!$B$3:$M$121, 11, FALSE) - 1, "N/A")</f>
        <v>-0.004786120251</v>
      </c>
      <c r="I8" s="176">
        <f t="shared" si="1"/>
        <v>4173.12</v>
      </c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</row>
    <row r="9" ht="15.0" customHeight="1">
      <c r="A9" s="23" t="s">
        <v>257</v>
      </c>
      <c r="B9" s="172" t="str">
        <f>IFERROR(__xludf.DUMMYFUNCTION("GOOGLEFINANCE(A9,""NAME"")"),"Monster Beverage Corp")</f>
        <v>Monster Beverage Corp</v>
      </c>
      <c r="C9" s="173" t="s">
        <v>69</v>
      </c>
      <c r="D9" s="173" t="s">
        <v>253</v>
      </c>
      <c r="E9" s="173">
        <v>70.0</v>
      </c>
      <c r="F9" s="173">
        <v>81.12</v>
      </c>
      <c r="G9" s="174">
        <v>46057.0</v>
      </c>
      <c r="H9" s="175" t="str">
        <f>IF(OR(D9="Sell to Trim", D9="Sell to Close"),F8/VLOOKUP(A8, 'Sector Holdings'!$B$3:$M$121, 11, FALSE) - 1, "N/A")</f>
        <v>#N/A</v>
      </c>
      <c r="I9" s="176">
        <f t="shared" si="1"/>
        <v>5678.4</v>
      </c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</row>
    <row r="10" ht="15.0" customHeight="1">
      <c r="A10" s="23" t="s">
        <v>258</v>
      </c>
      <c r="B10" s="172" t="str">
        <f>IFERROR(__xludf.DUMMYFUNCTION("GOOGLEFINANCE(A10,""NAME"")"),"Exxon Mobil Corp")</f>
        <v>Exxon Mobil Corp</v>
      </c>
      <c r="C10" s="173" t="s">
        <v>69</v>
      </c>
      <c r="D10" s="173" t="s">
        <v>253</v>
      </c>
      <c r="E10" s="173">
        <v>39.0</v>
      </c>
      <c r="F10" s="173">
        <v>146.52</v>
      </c>
      <c r="G10" s="174">
        <v>46057.0</v>
      </c>
      <c r="H10" s="175" t="str">
        <f>IF(OR(D10="Sell to Trim", D10="Sell to Close"),F9/VLOOKUP(A9, 'Sector Holdings'!$B$3:$M$121, 11, FALSE) - 1, "N/A")</f>
        <v>#N/A</v>
      </c>
      <c r="I10" s="176">
        <f t="shared" si="1"/>
        <v>5714.28</v>
      </c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</row>
    <row r="11" ht="15.0" customHeight="1">
      <c r="A11" s="23" t="s">
        <v>259</v>
      </c>
      <c r="B11" s="172" t="str">
        <f>IFERROR(__xludf.DUMMYFUNCTION("GOOGLEFINANCE(A11,""NAME"")"),"Kraft Heinz Co")</f>
        <v>Kraft Heinz Co</v>
      </c>
      <c r="C11" s="173" t="s">
        <v>69</v>
      </c>
      <c r="D11" s="173" t="s">
        <v>253</v>
      </c>
      <c r="E11" s="173">
        <v>156.0</v>
      </c>
      <c r="F11" s="173">
        <v>24.5</v>
      </c>
      <c r="G11" s="174">
        <v>46057.0</v>
      </c>
      <c r="H11" s="175" t="str">
        <f>IF(OR(D11="Sell to Trim", D11="Sell to Close"),F10/VLOOKUP(A10, 'Sector Holdings'!$B$3:$M$121, 11, FALSE) - 1, "N/A")</f>
        <v>#N/A</v>
      </c>
      <c r="I11" s="176">
        <f t="shared" si="1"/>
        <v>3822</v>
      </c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</row>
    <row r="12" ht="15.0" customHeight="1">
      <c r="A12" s="138" t="s">
        <v>92</v>
      </c>
      <c r="B12" s="172" t="str">
        <f>IFERROR(__xludf.DUMMYFUNCTION("GOOGLEFINANCE(A12,""NAME"")"),"Amazon.com Inc")</f>
        <v>Amazon.com Inc</v>
      </c>
      <c r="C12" s="177" t="s">
        <v>72</v>
      </c>
      <c r="D12" s="173" t="s">
        <v>260</v>
      </c>
      <c r="E12" s="177">
        <v>47.0</v>
      </c>
      <c r="F12" s="177">
        <v>237.45</v>
      </c>
      <c r="G12" s="174">
        <v>46057.0</v>
      </c>
      <c r="H12" s="175" t="str">
        <f>IF(OR(D12="Sell to Trim", D12="Sell to Close"),F11/VLOOKUP(A11, 'Sector Holdings'!$B$3:$M$121, 11, FALSE) - 1, "N/A")</f>
        <v>N/A</v>
      </c>
      <c r="I12" s="176">
        <f t="shared" si="1"/>
        <v>-11160.15</v>
      </c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 ht="15.0" customHeight="1">
      <c r="A13" s="178" t="s">
        <v>94</v>
      </c>
      <c r="B13" s="172" t="str">
        <f>IFERROR(__xludf.DUMMYFUNCTION("GOOGLEFINANCE(A13,""NAME"")"),"LVMH Moet Hennessy Louis Vuitton SA Unsponsored ADR")</f>
        <v>LVMH Moet Hennessy Louis Vuitton SA Unsponsored ADR</v>
      </c>
      <c r="C13" s="173" t="s">
        <v>72</v>
      </c>
      <c r="D13" s="173" t="s">
        <v>260</v>
      </c>
      <c r="E13" s="173">
        <v>46.0</v>
      </c>
      <c r="F13" s="173">
        <v>126.4</v>
      </c>
      <c r="G13" s="174">
        <v>46057.0</v>
      </c>
      <c r="H13" s="175" t="str">
        <f>IF(OR(D13="Sell to Trim", D13="Sell to Close"),F13/VLOOKUP(A13, 'Sector Holdings'!$B$3:$M$121, 11, FALSE) - 1, "N/A")</f>
        <v>N/A</v>
      </c>
      <c r="I13" s="176">
        <f t="shared" si="1"/>
        <v>-5814.4</v>
      </c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ht="15.0" customHeight="1">
      <c r="A14" s="178" t="s">
        <v>95</v>
      </c>
      <c r="B14" s="172" t="str">
        <f>IFERROR(__xludf.DUMMYFUNCTION("GOOGLEFINANCE(A14,""NAME"")"),"Airbnb Inc")</f>
        <v>Airbnb Inc</v>
      </c>
      <c r="C14" s="173" t="s">
        <v>72</v>
      </c>
      <c r="D14" s="173" t="s">
        <v>260</v>
      </c>
      <c r="E14" s="173">
        <v>46.0</v>
      </c>
      <c r="F14" s="173">
        <v>124.2</v>
      </c>
      <c r="G14" s="174">
        <v>46057.0</v>
      </c>
      <c r="H14" s="175" t="str">
        <f>IF(OR(D14="Sell to Trim", D14="Sell to Close"),F14/VLOOKUP(A14, 'Sector Holdings'!$B$3:$M$121, 11, FALSE) - 1, "N/A")</f>
        <v>N/A</v>
      </c>
      <c r="I14" s="176">
        <f t="shared" si="1"/>
        <v>-5713.2</v>
      </c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 ht="15.0" customHeight="1">
      <c r="A15" s="178" t="s">
        <v>163</v>
      </c>
      <c r="B15" s="172" t="str">
        <f>IFERROR(__xludf.DUMMYFUNCTION("GOOGLEFINANCE(A15,""NAME"")"),"Post Holdings Inc")</f>
        <v>Post Holdings Inc</v>
      </c>
      <c r="C15" s="173" t="s">
        <v>74</v>
      </c>
      <c r="D15" s="173" t="s">
        <v>261</v>
      </c>
      <c r="E15" s="173">
        <v>93.0</v>
      </c>
      <c r="F15" s="173">
        <v>103.9</v>
      </c>
      <c r="G15" s="174">
        <v>46057.0</v>
      </c>
      <c r="H15" s="175">
        <f>IF(OR(D15="Sell to Trim", D15="Sell to Close"),F15/VLOOKUP(A15, 'Sector Holdings'!$B$3:$M$121, 11, FALSE) - 1, "N/A")</f>
        <v>0.2212035731</v>
      </c>
      <c r="I15" s="176">
        <f t="shared" si="1"/>
        <v>9662.7</v>
      </c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 ht="15.0" customHeight="1">
      <c r="A16" s="178" t="s">
        <v>183</v>
      </c>
      <c r="B16" s="172" t="str">
        <f>IFERROR(__xludf.DUMMYFUNCTION("GOOGLEFINANCE(A16,""NAME"")"),"S&amp;P Global Inc")</f>
        <v>S&amp;P Global Inc</v>
      </c>
      <c r="C16" s="173" t="s">
        <v>79</v>
      </c>
      <c r="D16" s="173" t="s">
        <v>260</v>
      </c>
      <c r="E16" s="173">
        <v>20.0</v>
      </c>
      <c r="F16" s="173">
        <v>453.64</v>
      </c>
      <c r="G16" s="174">
        <v>46057.0</v>
      </c>
      <c r="H16" s="175" t="str">
        <f>IF(OR(D16="Sell to Trim", D16="Sell to Close"),F16/VLOOKUP(A16, 'Sector Holdings'!$B$3:$M$121, 11, FALSE) - 1, "N/A")</f>
        <v>N/A</v>
      </c>
      <c r="I16" s="176">
        <f t="shared" si="1"/>
        <v>-9072.8</v>
      </c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 ht="15.0" customHeight="1">
      <c r="A17" s="178" t="s">
        <v>109</v>
      </c>
      <c r="B17" s="172" t="str">
        <f>IFERROR(__xludf.DUMMYFUNCTION("GOOGLEFINANCE(A17,""NAME"")"),"Thermo Fisher Scientific Inc")</f>
        <v>Thermo Fisher Scientific Inc</v>
      </c>
      <c r="C17" s="173" t="s">
        <v>81</v>
      </c>
      <c r="D17" s="173" t="s">
        <v>260</v>
      </c>
      <c r="E17" s="173">
        <v>3.0</v>
      </c>
      <c r="F17" s="173">
        <v>574.4</v>
      </c>
      <c r="G17" s="174">
        <v>46057.0</v>
      </c>
      <c r="H17" s="175" t="str">
        <f>IF(OR(D17="Sell to Trim", D17="Sell to Close"),F17/VLOOKUP(A17, 'Sector Holdings'!$B$3:$M$121, 11, FALSE) - 1, "N/A")</f>
        <v>N/A</v>
      </c>
      <c r="I17" s="176">
        <f t="shared" si="1"/>
        <v>-1723.2</v>
      </c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</row>
    <row r="18" ht="15.0" customHeight="1">
      <c r="A18" s="178" t="s">
        <v>110</v>
      </c>
      <c r="B18" s="172" t="str">
        <f>IFERROR(__xludf.DUMMYFUNCTION("GOOGLEFINANCE(A18,""NAME"")"),"UnitedHealth Group Inc")</f>
        <v>UnitedHealth Group Inc</v>
      </c>
      <c r="C18" s="173" t="s">
        <v>81</v>
      </c>
      <c r="D18" s="173" t="s">
        <v>260</v>
      </c>
      <c r="E18" s="173">
        <v>7.0</v>
      </c>
      <c r="F18" s="173">
        <v>280.32</v>
      </c>
      <c r="G18" s="174">
        <v>46057.0</v>
      </c>
      <c r="H18" s="175" t="str">
        <f>IF(OR(D18="Sell to Trim", D18="Sell to Close"),F18/VLOOKUP(A18, 'Sector Holdings'!$B$3:$M$121, 11, FALSE) - 1, "N/A")</f>
        <v>N/A</v>
      </c>
      <c r="I18" s="176">
        <f t="shared" si="1"/>
        <v>-1962.24</v>
      </c>
      <c r="J18" s="170"/>
      <c r="K18" s="175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</row>
    <row r="19" ht="15.0" customHeight="1">
      <c r="A19" s="178" t="s">
        <v>112</v>
      </c>
      <c r="B19" s="172" t="str">
        <f>IFERROR(__xludf.DUMMYFUNCTION("GOOGLEFINANCE(A19,""NAME"")"),"Veeva Systems Inc")</f>
        <v>Veeva Systems Inc</v>
      </c>
      <c r="C19" s="173" t="s">
        <v>81</v>
      </c>
      <c r="D19" s="173" t="s">
        <v>260</v>
      </c>
      <c r="E19" s="173">
        <v>10.0</v>
      </c>
      <c r="F19" s="173">
        <v>190.11</v>
      </c>
      <c r="G19" s="174">
        <v>46057.0</v>
      </c>
      <c r="H19" s="175" t="str">
        <f>IF(OR(D19="Sell to Trim", D19="Sell to Close"),F19/VLOOKUP(A19, 'Sector Holdings'!$B$3:$M$121, 11, FALSE) - 1, "N/A")</f>
        <v>N/A</v>
      </c>
      <c r="I19" s="176">
        <f t="shared" si="1"/>
        <v>-1901.1</v>
      </c>
      <c r="J19" s="170"/>
      <c r="K19" s="175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</row>
    <row r="20" ht="15.0" customHeight="1">
      <c r="A20" s="178" t="s">
        <v>196</v>
      </c>
      <c r="B20" s="172" t="str">
        <f>IFERROR(__xludf.DUMMYFUNCTION("GOOGLEFINANCE(A20,""NAME"")"),"Royalty Pharma plc")</f>
        <v>Royalty Pharma plc</v>
      </c>
      <c r="C20" s="173" t="s">
        <v>81</v>
      </c>
      <c r="D20" s="173" t="s">
        <v>260</v>
      </c>
      <c r="E20" s="173">
        <v>46.0</v>
      </c>
      <c r="F20" s="173">
        <v>43.16</v>
      </c>
      <c r="G20" s="174">
        <v>46057.0</v>
      </c>
      <c r="H20" s="175" t="str">
        <f>IF(OR(D20="Sell to Trim", D20="Sell to Close"),F20/VLOOKUP(A20, 'Sector Holdings'!$B$3:$M$121, 11, FALSE) - 1, "N/A")</f>
        <v>N/A</v>
      </c>
      <c r="I20" s="176">
        <f t="shared" si="1"/>
        <v>-1985.36</v>
      </c>
      <c r="J20" s="170"/>
      <c r="K20" s="175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ht="15.0" customHeight="1">
      <c r="A21" s="178" t="s">
        <v>111</v>
      </c>
      <c r="B21" s="172" t="str">
        <f>IFERROR(__xludf.DUMMYFUNCTION("GOOGLEFINANCE(A21,""NAME"")"),"Merck &amp; Co Inc")</f>
        <v>Merck &amp; Co Inc</v>
      </c>
      <c r="C21" s="173" t="s">
        <v>81</v>
      </c>
      <c r="D21" s="173" t="s">
        <v>260</v>
      </c>
      <c r="E21" s="173">
        <v>17.0</v>
      </c>
      <c r="F21" s="173">
        <v>118.74</v>
      </c>
      <c r="G21" s="174">
        <v>46057.0</v>
      </c>
      <c r="H21" s="175" t="str">
        <f>IF(OR(D21="Sell to Trim", D21="Sell to Close"),F21/VLOOKUP(A21, 'Sector Holdings'!$B$3:$M$121, 11, FALSE) - 1, "N/A")</f>
        <v>N/A</v>
      </c>
      <c r="I21" s="176">
        <f t="shared" si="1"/>
        <v>-2018.58</v>
      </c>
      <c r="J21" s="170"/>
      <c r="K21" s="175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</row>
    <row r="22" ht="15.0" customHeight="1">
      <c r="A22" s="178" t="s">
        <v>203</v>
      </c>
      <c r="B22" s="172" t="str">
        <f>IFERROR(__xludf.DUMMYFUNCTION("GOOGLEFINANCE(A22,""NAME"")"),"General Electric Co")</f>
        <v>General Electric Co</v>
      </c>
      <c r="C22" s="173" t="s">
        <v>83</v>
      </c>
      <c r="D22" s="173" t="s">
        <v>260</v>
      </c>
      <c r="E22" s="173">
        <v>17.0</v>
      </c>
      <c r="F22" s="173">
        <v>304.61</v>
      </c>
      <c r="G22" s="174">
        <v>46057.0</v>
      </c>
      <c r="H22" s="175" t="str">
        <f>IF(OR(D22="Sell to Trim", D22="Sell to Close"),F22/VLOOKUP(A22, 'Sector Holdings'!$B$3:$M$121, 11, FALSE) - 1, "N/A")</f>
        <v>N/A</v>
      </c>
      <c r="I22" s="176">
        <f t="shared" si="1"/>
        <v>-5178.37</v>
      </c>
      <c r="J22" s="170"/>
      <c r="K22" s="175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</row>
    <row r="23" ht="15.0" customHeight="1">
      <c r="A23" s="178" t="s">
        <v>205</v>
      </c>
      <c r="B23" s="172" t="str">
        <f>IFERROR(__xludf.DUMMYFUNCTION("GOOGLEFINANCE(A23,""NAME"")"),"Amrize AG")</f>
        <v>Amrize AG</v>
      </c>
      <c r="C23" s="173" t="s">
        <v>83</v>
      </c>
      <c r="D23" s="173" t="s">
        <v>260</v>
      </c>
      <c r="E23" s="173">
        <v>91.0</v>
      </c>
      <c r="F23" s="173">
        <v>55.07</v>
      </c>
      <c r="G23" s="174">
        <v>46057.0</v>
      </c>
      <c r="H23" s="175" t="str">
        <f>IF(OR(D23="Sell to Trim", D23="Sell to Close"),F23/VLOOKUP(A23, 'Sector Holdings'!$B$3:$M$121, 11, FALSE) - 1, "N/A")</f>
        <v>N/A</v>
      </c>
      <c r="I23" s="176">
        <f t="shared" si="1"/>
        <v>-5011.37</v>
      </c>
      <c r="J23" s="170"/>
      <c r="K23" s="175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</row>
    <row r="24" ht="15.0" customHeight="1">
      <c r="A24" s="178" t="s">
        <v>118</v>
      </c>
      <c r="B24" s="172" t="str">
        <f>IFERROR(__xludf.DUMMYFUNCTION("GOOGLEFINANCE(A24,""NAME"")"),"Prologis Inc")</f>
        <v>Prologis Inc</v>
      </c>
      <c r="C24" s="173" t="s">
        <v>262</v>
      </c>
      <c r="D24" s="173" t="s">
        <v>261</v>
      </c>
      <c r="E24" s="173">
        <v>5.0</v>
      </c>
      <c r="F24" s="173">
        <v>133.71</v>
      </c>
      <c r="G24" s="174">
        <v>46057.0</v>
      </c>
      <c r="H24" s="175">
        <f>IF(OR(D24="Sell to Trim", D24="Sell to Close"),F24/VLOOKUP(A24, 'Sector Holdings'!$B$3:$M$121, 11, FALSE) - 1, "N/A")</f>
        <v>0.785418614</v>
      </c>
      <c r="I24" s="176">
        <f t="shared" si="1"/>
        <v>668.55</v>
      </c>
      <c r="J24" s="170"/>
      <c r="K24" s="175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</row>
    <row r="25" ht="15.0" customHeight="1">
      <c r="A25" s="178" t="s">
        <v>120</v>
      </c>
      <c r="B25" s="172" t="str">
        <f>IFERROR(__xludf.DUMMYFUNCTION("GOOGLEFINANCE(A25,""NAME"")"),"Agree Realty Corp")</f>
        <v>Agree Realty Corp</v>
      </c>
      <c r="C25" s="173" t="s">
        <v>262</v>
      </c>
      <c r="D25" s="173" t="s">
        <v>261</v>
      </c>
      <c r="E25" s="173">
        <v>7.0</v>
      </c>
      <c r="F25" s="173">
        <v>73.55</v>
      </c>
      <c r="G25" s="174">
        <v>46057.0</v>
      </c>
      <c r="H25" s="175">
        <f>IF(OR(D25="Sell to Trim", D25="Sell to Close"),F25/VLOOKUP(A25, 'Sector Holdings'!$B$3:$M$121, 11, FALSE) - 1, "N/A")</f>
        <v>0.1711783439</v>
      </c>
      <c r="I25" s="176">
        <f t="shared" si="1"/>
        <v>514.85</v>
      </c>
      <c r="J25" s="170"/>
      <c r="K25" s="175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</row>
    <row r="26" ht="15.0" customHeight="1">
      <c r="A26" s="178" t="s">
        <v>126</v>
      </c>
      <c r="B26" s="172" t="str">
        <f>IFERROR(__xludf.DUMMYFUNCTION("GOOGLEFINANCE(A26,""NAME"")"),"Synopsys Inc")</f>
        <v>Synopsys Inc</v>
      </c>
      <c r="C26" s="173" t="s">
        <v>87</v>
      </c>
      <c r="D26" s="173" t="s">
        <v>260</v>
      </c>
      <c r="E26" s="173">
        <v>21.0</v>
      </c>
      <c r="F26" s="173">
        <v>417.4</v>
      </c>
      <c r="G26" s="174">
        <v>46057.0</v>
      </c>
      <c r="H26" s="175" t="str">
        <f>IF(OR(D26="Sell to Trim", D26="Sell to Close"),F26/VLOOKUP(A26, 'Sector Holdings'!$B$3:$M$121, 11, FALSE) - 1, "N/A")</f>
        <v>N/A</v>
      </c>
      <c r="I26" s="176">
        <f t="shared" si="1"/>
        <v>-8765.4</v>
      </c>
      <c r="J26" s="170"/>
      <c r="K26" s="175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 ht="15.0" customHeight="1">
      <c r="A27" s="178" t="s">
        <v>218</v>
      </c>
      <c r="B27" s="172" t="str">
        <f>IFERROR(__xludf.DUMMYFUNCTION("GOOGLEFINANCE(A27,""NAME"")"),"Taiwan Semicndctr Mnufctrng Co Ltd")</f>
        <v>Taiwan Semicndctr Mnufctrng Co Ltd</v>
      </c>
      <c r="C27" s="173" t="s">
        <v>87</v>
      </c>
      <c r="D27" s="173" t="s">
        <v>260</v>
      </c>
      <c r="E27" s="173">
        <v>26.0</v>
      </c>
      <c r="F27" s="173">
        <v>329.4</v>
      </c>
      <c r="G27" s="174">
        <v>46057.0</v>
      </c>
      <c r="H27" s="175" t="str">
        <f>IF(OR(D27="Sell to Trim", D27="Sell to Close"),F27/VLOOKUP(A27, 'Sector Holdings'!$B$3:$M$121, 11, FALSE) - 1, "N/A")</f>
        <v>N/A</v>
      </c>
      <c r="I27" s="176">
        <f t="shared" si="1"/>
        <v>-8564.4</v>
      </c>
      <c r="J27" s="170"/>
      <c r="K27" s="175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 ht="15.0" customHeight="1">
      <c r="A28" s="178" t="s">
        <v>132</v>
      </c>
      <c r="B28" s="172" t="str">
        <f>IFERROR(__xludf.DUMMYFUNCTION("GOOGLEFINANCE(A28,""NAME"")"),"Meta Platforms Inc")</f>
        <v>Meta Platforms Inc</v>
      </c>
      <c r="C28" s="173" t="s">
        <v>263</v>
      </c>
      <c r="D28" s="173" t="s">
        <v>260</v>
      </c>
      <c r="E28" s="173">
        <v>9.0</v>
      </c>
      <c r="F28" s="173">
        <v>678.31</v>
      </c>
      <c r="G28" s="174">
        <v>46057.0</v>
      </c>
      <c r="H28" s="175" t="str">
        <f>IF(OR(D28="Sell to Trim", D28="Sell to Close"),F28/VLOOKUP(A28, 'Sector Holdings'!$B$3:$M$121, 11, FALSE) - 1, "N/A")</f>
        <v>N/A</v>
      </c>
      <c r="I28" s="176">
        <f t="shared" si="1"/>
        <v>-6104.79</v>
      </c>
      <c r="J28" s="170"/>
      <c r="K28" s="175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 ht="15.0" customHeight="1">
      <c r="A29" s="178" t="s">
        <v>223</v>
      </c>
      <c r="B29" s="172" t="str">
        <f>IFERROR(__xludf.DUMMYFUNCTION("GOOGLEFINANCE(A29,""NAME"")"),"Live Nation Entertainment Inc")</f>
        <v>Live Nation Entertainment Inc</v>
      </c>
      <c r="C29" s="171" t="s">
        <v>263</v>
      </c>
      <c r="D29" s="171" t="s">
        <v>260</v>
      </c>
      <c r="E29" s="171">
        <v>43.0</v>
      </c>
      <c r="F29" s="171">
        <v>142.24</v>
      </c>
      <c r="G29" s="174">
        <v>46057.0</v>
      </c>
      <c r="H29" s="175" t="str">
        <f>IF(OR(D29="Sell to Trim", D29="Sell to Close"),F29/VLOOKUP(A29, 'Sector Holdings'!$B$3:$M$121, 11, FALSE) - 1, "N/A")</f>
        <v>N/A</v>
      </c>
      <c r="I29" s="176">
        <f t="shared" si="1"/>
        <v>-6116.32</v>
      </c>
      <c r="J29" s="170"/>
      <c r="K29" s="175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ht="15.0" customHeight="1">
      <c r="A30" s="178" t="s">
        <v>228</v>
      </c>
      <c r="B30" s="172" t="str">
        <f>IFERROR(__xludf.DUMMYFUNCTION("GOOGLEFINANCE(A30,""NAME"")"),"Vistra Corp")</f>
        <v>Vistra Corp</v>
      </c>
      <c r="C30" s="171" t="s">
        <v>91</v>
      </c>
      <c r="D30" s="171" t="s">
        <v>260</v>
      </c>
      <c r="E30" s="171">
        <v>23.0</v>
      </c>
      <c r="F30" s="179">
        <v>143.69</v>
      </c>
      <c r="G30" s="174">
        <v>46057.0</v>
      </c>
      <c r="H30" s="175" t="str">
        <f>IF(OR(D30="Sell to Trim", D30="Sell to Close"),F30/VLOOKUP(A30, 'Sector Holdings'!$B$3:$M$121, 11, FALSE) - 1, "N/A")</f>
        <v>N/A</v>
      </c>
      <c r="I30" s="176">
        <f t="shared" si="1"/>
        <v>-3304.87</v>
      </c>
      <c r="J30" s="170"/>
      <c r="K30" s="175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ht="15.0" customHeight="1">
      <c r="A31" s="180" t="s">
        <v>238</v>
      </c>
      <c r="B31" s="181" t="str">
        <f>IFERROR(__xludf.DUMMYFUNCTION("GOOGLEFINANCE(A31,""NAME"")"),"Chipotle Mexican Grill Inc")</f>
        <v>Chipotle Mexican Grill Inc</v>
      </c>
      <c r="C31" s="180" t="s">
        <v>69</v>
      </c>
      <c r="D31" s="180" t="s">
        <v>264</v>
      </c>
      <c r="E31" s="180">
        <v>153.0</v>
      </c>
      <c r="F31" s="180">
        <v>38.88</v>
      </c>
      <c r="G31" s="182">
        <v>46058.0</v>
      </c>
      <c r="H31" s="183" t="str">
        <f>IF(OR(D31="Sell to Trim", D31="Sell to Close"),F31/VLOOKUP(A31, 'Sector Holdings'!$B$3:$M$121, 11, FALSE) - 1, "N/A")</f>
        <v>N/A</v>
      </c>
      <c r="I31" s="176">
        <f t="shared" si="1"/>
        <v>-5948.64</v>
      </c>
      <c r="J31" s="170"/>
      <c r="K31" s="175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ht="15.0" customHeight="1">
      <c r="A32" s="180" t="s">
        <v>239</v>
      </c>
      <c r="B32" s="181" t="str">
        <f>IFERROR(__xludf.DUMMYFUNCTION("GOOGLEFINANCE(A32,""NAME"")"),"Texas Pacific Land Corp")</f>
        <v>Texas Pacific Land Corp</v>
      </c>
      <c r="C32" s="180" t="s">
        <v>69</v>
      </c>
      <c r="D32" s="180" t="s">
        <v>264</v>
      </c>
      <c r="E32" s="180">
        <v>17.0</v>
      </c>
      <c r="F32" s="180">
        <v>343.75</v>
      </c>
      <c r="G32" s="182">
        <v>46058.0</v>
      </c>
      <c r="H32" s="183" t="str">
        <f>IF(OR(D32="Sell to Trim", D32="Sell to Close"),F32/VLOOKUP(A32, 'Sector Holdings'!$B$3:$M$121, 11, FALSE) - 1, "N/A")</f>
        <v>N/A</v>
      </c>
      <c r="I32" s="176">
        <f t="shared" si="1"/>
        <v>-5843.75</v>
      </c>
      <c r="J32" s="170"/>
      <c r="K32" s="175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 ht="15.0" customHeight="1">
      <c r="A33" s="180" t="s">
        <v>240</v>
      </c>
      <c r="B33" s="181" t="str">
        <f>IFERROR(__xludf.DUMMYFUNCTION("GOOGLEFINANCE(A33,""NAME"")"),"Monolithic Power Systems Inc")</f>
        <v>Monolithic Power Systems Inc</v>
      </c>
      <c r="C33" s="180" t="s">
        <v>69</v>
      </c>
      <c r="D33" s="180" t="s">
        <v>264</v>
      </c>
      <c r="E33" s="180">
        <v>5.0</v>
      </c>
      <c r="F33" s="184">
        <v>1169.7</v>
      </c>
      <c r="G33" s="182">
        <v>46058.0</v>
      </c>
      <c r="H33" s="183" t="str">
        <f>IF(OR(D33="Sell to Trim", D33="Sell to Close"),F33/VLOOKUP(A33, 'Sector Holdings'!$B$3:$M$121, 11, FALSE) - 1, "N/A")</f>
        <v>N/A</v>
      </c>
      <c r="I33" s="176">
        <f t="shared" si="1"/>
        <v>-5848.5</v>
      </c>
      <c r="J33" s="170"/>
      <c r="K33" s="175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ht="15.0" customHeight="1">
      <c r="A34" s="180" t="s">
        <v>241</v>
      </c>
      <c r="B34" s="181" t="str">
        <f>IFERROR(__xludf.DUMMYFUNCTION("GOOGLEFINANCE(A34,""NAME"")"),"Pultegroup Inc")</f>
        <v>Pultegroup Inc</v>
      </c>
      <c r="C34" s="180" t="s">
        <v>69</v>
      </c>
      <c r="D34" s="180" t="s">
        <v>264</v>
      </c>
      <c r="E34" s="180">
        <v>45.0</v>
      </c>
      <c r="F34" s="184">
        <v>133.72</v>
      </c>
      <c r="G34" s="182">
        <v>46058.0</v>
      </c>
      <c r="H34" s="183" t="str">
        <f>IF(OR(D34="Sell to Trim", D34="Sell to Close"),F34/VLOOKUP(A34, 'Sector Holdings'!$B$3:$M$121, 11, FALSE) - 1, "N/A")</f>
        <v>N/A</v>
      </c>
      <c r="I34" s="176">
        <f t="shared" si="1"/>
        <v>-6017.4</v>
      </c>
      <c r="J34" s="170"/>
      <c r="K34" s="175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</row>
    <row r="35" ht="15.0" customHeight="1">
      <c r="A35" s="180" t="s">
        <v>242</v>
      </c>
      <c r="B35" s="181" t="str">
        <f>IFERROR(__xludf.DUMMYFUNCTION("GOOGLEFINANCE(A35,""NAME"")"),"Incyte Corp")</f>
        <v>Incyte Corp</v>
      </c>
      <c r="C35" s="180" t="s">
        <v>69</v>
      </c>
      <c r="D35" s="180" t="s">
        <v>264</v>
      </c>
      <c r="E35" s="180">
        <v>60.0</v>
      </c>
      <c r="F35" s="184">
        <v>103.98</v>
      </c>
      <c r="G35" s="182">
        <v>46058.0</v>
      </c>
      <c r="H35" s="183" t="str">
        <f>IF(OR(D35="Sell to Trim", D35="Sell to Close"),F35/VLOOKUP(A35, 'Sector Holdings'!$B$3:$M$121, 11, FALSE) - 1, "N/A")</f>
        <v>N/A</v>
      </c>
      <c r="I35" s="176">
        <f t="shared" si="1"/>
        <v>-6238.8</v>
      </c>
      <c r="J35" s="170"/>
      <c r="K35" s="175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 ht="15.0" customHeight="1">
      <c r="A36" s="180" t="s">
        <v>144</v>
      </c>
      <c r="B36" s="181" t="str">
        <f>IFERROR(__xludf.DUMMYFUNCTION("GOOGLEFINANCE(A36,""NAME"")"),"Archer-Daniels-Midland Co")</f>
        <v>Archer-Daniels-Midland Co</v>
      </c>
      <c r="C36" s="180" t="s">
        <v>69</v>
      </c>
      <c r="D36" s="180" t="s">
        <v>264</v>
      </c>
      <c r="E36" s="180">
        <v>59.0</v>
      </c>
      <c r="F36" s="184">
        <v>64.96</v>
      </c>
      <c r="G36" s="182">
        <v>46058.0</v>
      </c>
      <c r="H36" s="183" t="str">
        <f>IF(OR(D36="Sell to Trim", D36="Sell to Close"),F36/VLOOKUP(A36, 'Sector Holdings'!$B$3:$M$121, 11, FALSE) - 1, "N/A")</f>
        <v>N/A</v>
      </c>
      <c r="I36" s="176">
        <f t="shared" si="1"/>
        <v>-3832.64</v>
      </c>
      <c r="J36" s="170"/>
      <c r="K36" s="175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ht="15.0" customHeight="1">
      <c r="A37" s="180" t="s">
        <v>103</v>
      </c>
      <c r="B37" s="181" t="str">
        <f>IFERROR(__xludf.DUMMYFUNCTION("GOOGLEFINANCE(A37,""NAME"")"),"Principal Financial Group Inc")</f>
        <v>Principal Financial Group Inc</v>
      </c>
      <c r="C37" s="180" t="s">
        <v>69</v>
      </c>
      <c r="D37" s="180" t="s">
        <v>264</v>
      </c>
      <c r="E37" s="180">
        <v>41.0</v>
      </c>
      <c r="F37" s="184">
        <v>95.91</v>
      </c>
      <c r="G37" s="182">
        <v>46058.0</v>
      </c>
      <c r="H37" s="183" t="str">
        <f>IF(OR(D37="Sell to Trim", D37="Sell to Close"),F37/VLOOKUP(A37, 'Sector Holdings'!$B$3:$M$121, 11, FALSE) - 1, "N/A")</f>
        <v>N/A</v>
      </c>
      <c r="I37" s="176">
        <f t="shared" si="1"/>
        <v>-3932.31</v>
      </c>
      <c r="J37" s="170"/>
      <c r="K37" s="175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</row>
    <row r="38" ht="15.0" customHeight="1">
      <c r="A38" s="180" t="s">
        <v>233</v>
      </c>
      <c r="B38" s="181" t="str">
        <f>IFERROR(__xludf.DUMMYFUNCTION("GOOGLEFINANCE(A38,""NAME"")"),"Viatris Inc")</f>
        <v>Viatris Inc</v>
      </c>
      <c r="C38" s="180" t="s">
        <v>69</v>
      </c>
      <c r="D38" s="185" t="s">
        <v>264</v>
      </c>
      <c r="E38" s="180">
        <v>292.0</v>
      </c>
      <c r="F38" s="184">
        <v>14.32</v>
      </c>
      <c r="G38" s="182">
        <v>46058.0</v>
      </c>
      <c r="H38" s="183" t="str">
        <f>IF(OR(D38="Sell to Trim", D38="Sell to Close"),F38/VLOOKUP(A38, 'Sector Holdings'!$B$3:$M$121, 11, FALSE) - 1, "N/A")</f>
        <v>N/A</v>
      </c>
      <c r="I38" s="176">
        <f t="shared" si="1"/>
        <v>-4181.44</v>
      </c>
      <c r="J38" s="170"/>
      <c r="K38" s="175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</row>
    <row r="39" ht="15.0" customHeight="1">
      <c r="A39" s="180" t="s">
        <v>234</v>
      </c>
      <c r="B39" s="181" t="str">
        <f>IFERROR(__xludf.DUMMYFUNCTION("GOOGLEFINANCE(A39,""NAME"")"),"AT&amp;T Inc")</f>
        <v>AT&amp;T Inc</v>
      </c>
      <c r="C39" s="180" t="s">
        <v>69</v>
      </c>
      <c r="D39" s="185" t="s">
        <v>264</v>
      </c>
      <c r="E39" s="180">
        <v>149.0</v>
      </c>
      <c r="F39" s="184">
        <v>27.17</v>
      </c>
      <c r="G39" s="182">
        <v>46058.0</v>
      </c>
      <c r="H39" s="183" t="str">
        <f>IF(OR(D39="Sell to Trim", D39="Sell to Close"),F39/VLOOKUP(A39, 'Sector Holdings'!$B$3:$M$121, 11, FALSE) - 1, "N/A")</f>
        <v>N/A</v>
      </c>
      <c r="I39" s="176">
        <f t="shared" si="1"/>
        <v>-4048.33</v>
      </c>
      <c r="J39" s="170"/>
      <c r="K39" s="175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</row>
    <row r="40" ht="15.0" customHeight="1">
      <c r="A40" s="180" t="s">
        <v>235</v>
      </c>
      <c r="B40" s="181" t="str">
        <f>IFERROR(__xludf.DUMMYFUNCTION("GOOGLEFINANCE(A40,""NAME"")"),"Chevron Corp")</f>
        <v>Chevron Corp</v>
      </c>
      <c r="C40" s="180" t="s">
        <v>69</v>
      </c>
      <c r="D40" s="185" t="s">
        <v>264</v>
      </c>
      <c r="E40" s="180">
        <v>22.0</v>
      </c>
      <c r="F40" s="184">
        <v>179.27</v>
      </c>
      <c r="G40" s="182">
        <v>46058.0</v>
      </c>
      <c r="H40" s="183" t="str">
        <f>IF(OR(D40="Sell to Trim", D40="Sell to Close"),F40/VLOOKUP(A40, 'Sector Holdings'!$B$3:$M$121, 11, FALSE) - 1, "N/A")</f>
        <v>N/A</v>
      </c>
      <c r="I40" s="176">
        <f t="shared" si="1"/>
        <v>-3943.94</v>
      </c>
      <c r="J40" s="170"/>
      <c r="K40" s="175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</row>
    <row r="41" ht="15.0" customHeight="1">
      <c r="A41" s="171" t="s">
        <v>265</v>
      </c>
      <c r="B41" s="172" t="str">
        <f>IFERROR(__xludf.DUMMYFUNCTION("GOOGLEFINANCE(A41,""NAME"")"),"Chord Energy Corp")</f>
        <v>Chord Energy Corp</v>
      </c>
      <c r="C41" s="171" t="s">
        <v>77</v>
      </c>
      <c r="D41" s="173" t="s">
        <v>253</v>
      </c>
      <c r="E41" s="186">
        <v>206.0</v>
      </c>
      <c r="F41" s="187">
        <v>100.98</v>
      </c>
      <c r="G41" s="188">
        <v>46063.0</v>
      </c>
      <c r="H41" s="175" t="str">
        <f>IF(OR(D41="Sell to Trim", D41="Sell to Close"),F41/VLOOKUP(A41, 'Sector Holdings'!$B$3:$M$121, 11, FALSE) - 1, "N/A")</f>
        <v>#N/A</v>
      </c>
      <c r="I41" s="176">
        <f t="shared" si="1"/>
        <v>20801.88</v>
      </c>
      <c r="J41" s="170"/>
      <c r="K41" s="175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</row>
    <row r="42" ht="15.0" customHeight="1">
      <c r="A42" s="171" t="s">
        <v>266</v>
      </c>
      <c r="B42" s="172" t="str">
        <f>IFERROR(__xludf.DUMMYFUNCTION("GOOGLEFINANCE(A42,""NAME"")"),"goeasy Ltd")</f>
        <v>goeasy Ltd</v>
      </c>
      <c r="C42" s="171" t="s">
        <v>79</v>
      </c>
      <c r="D42" s="173" t="s">
        <v>253</v>
      </c>
      <c r="E42" s="186">
        <v>226.0</v>
      </c>
      <c r="F42" s="187">
        <v>97.05</v>
      </c>
      <c r="G42" s="188">
        <v>46063.0</v>
      </c>
      <c r="H42" s="175" t="str">
        <f>IF(OR(D42="Sell to Trim", D42="Sell to Close"),F42/VLOOKUP(A42, 'Sector Holdings'!$B$3:$M$121, 11, FALSE) - 1, "N/A")</f>
        <v>#N/A</v>
      </c>
      <c r="I42" s="176">
        <f t="shared" si="1"/>
        <v>21933.3</v>
      </c>
      <c r="J42" s="170"/>
      <c r="K42" s="175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 ht="15.0" customHeight="1">
      <c r="A43" s="171" t="s">
        <v>122</v>
      </c>
      <c r="B43" s="172" t="str">
        <f>IFERROR(__xludf.DUMMYFUNCTION("GOOGLEFINANCE(A43,""NAME"")"),"Adobe Inc")</f>
        <v>Adobe Inc</v>
      </c>
      <c r="C43" s="171" t="s">
        <v>87</v>
      </c>
      <c r="D43" s="173" t="s">
        <v>253</v>
      </c>
      <c r="E43" s="186">
        <v>117.0</v>
      </c>
      <c r="F43" s="187">
        <v>268.56</v>
      </c>
      <c r="G43" s="188">
        <v>46063.0</v>
      </c>
      <c r="H43" s="175" t="str">
        <f>IF(OR(D43="Sell to Trim", D43="Sell to Close"),F43/VLOOKUP(A43, 'Sector Holdings'!$B$3:$M$121, 11, FALSE) - 1, "N/A")</f>
        <v>#N/A</v>
      </c>
      <c r="I43" s="176">
        <f t="shared" si="1"/>
        <v>31421.52</v>
      </c>
      <c r="J43" s="170"/>
      <c r="K43" s="175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</row>
    <row r="44" ht="15.0" customHeight="1">
      <c r="A44" s="171" t="s">
        <v>183</v>
      </c>
      <c r="B44" s="172" t="str">
        <f>IFERROR(__xludf.DUMMYFUNCTION("GOOGLEFINANCE(A44,""NAME"")"),"S&amp;P Global Inc")</f>
        <v>S&amp;P Global Inc</v>
      </c>
      <c r="C44" s="171" t="s">
        <v>79</v>
      </c>
      <c r="D44" s="173" t="s">
        <v>260</v>
      </c>
      <c r="E44" s="186">
        <v>43.0</v>
      </c>
      <c r="F44" s="187">
        <v>418.74</v>
      </c>
      <c r="G44" s="188">
        <v>46063.0</v>
      </c>
      <c r="H44" s="175" t="str">
        <f>IF(OR(D44="Sell to Trim", D44="Sell to Close"),F44/VLOOKUP(A44, 'Sector Holdings'!$B$3:$M$121, 11, FALSE) - 1, "N/A")</f>
        <v>N/A</v>
      </c>
      <c r="I44" s="176">
        <f t="shared" si="1"/>
        <v>-18005.82</v>
      </c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</row>
    <row r="45" ht="15.0" customHeight="1">
      <c r="A45" s="137" t="s">
        <v>186</v>
      </c>
      <c r="B45" s="172" t="str">
        <f>IFERROR(__xludf.DUMMYFUNCTION("GOOGLEFINANCE(A45,""NAME"")"),"Stonex Group Inc")</f>
        <v>Stonex Group Inc</v>
      </c>
      <c r="C45" s="171" t="s">
        <v>79</v>
      </c>
      <c r="D45" s="173" t="s">
        <v>260</v>
      </c>
      <c r="E45" s="186">
        <v>70.0</v>
      </c>
      <c r="F45" s="187">
        <v>122.74</v>
      </c>
      <c r="G45" s="188">
        <v>46063.0</v>
      </c>
      <c r="H45" s="175" t="str">
        <f>IF(OR(D45="Sell to Trim", D45="Sell to Close"),F45/VLOOKUP(A45, 'Sector Holdings'!$B$3:$M$121, 11, FALSE) - 1, "N/A")</f>
        <v>N/A</v>
      </c>
      <c r="I45" s="176">
        <f t="shared" si="1"/>
        <v>-8591.8</v>
      </c>
      <c r="J45" s="170"/>
      <c r="K45" s="175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</row>
    <row r="46" ht="15.0" customHeight="1">
      <c r="A46" s="137" t="s">
        <v>130</v>
      </c>
      <c r="B46" s="172" t="str">
        <f>IFERROR(__xludf.DUMMYFUNCTION("GOOGLEFINANCE(A46,""NAME"")"),"Alphabet Inc Class A")</f>
        <v>Alphabet Inc Class A</v>
      </c>
      <c r="C46" s="171" t="s">
        <v>87</v>
      </c>
      <c r="D46" s="173" t="s">
        <v>260</v>
      </c>
      <c r="E46" s="186">
        <v>15.0</v>
      </c>
      <c r="F46" s="187">
        <v>317.95</v>
      </c>
      <c r="G46" s="188">
        <v>46063.0</v>
      </c>
      <c r="H46" s="175" t="str">
        <f>IF(OR(D46="Sell to Trim", D46="Sell to Close"),F46/VLOOKUP(A46, 'Sector Holdings'!$B$3:$M$121, 11, FALSE) - 1, "N/A")</f>
        <v>N/A</v>
      </c>
      <c r="I46" s="176">
        <f t="shared" si="1"/>
        <v>-4769.25</v>
      </c>
      <c r="J46" s="170"/>
      <c r="K46" s="175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 ht="15.0" customHeight="1">
      <c r="A47" s="137" t="s">
        <v>123</v>
      </c>
      <c r="B47" s="172" t="str">
        <f>IFERROR(__xludf.DUMMYFUNCTION("GOOGLEFINANCE(A47,""NAME"")"),"Microsoft Corp")</f>
        <v>Microsoft Corp</v>
      </c>
      <c r="C47" s="171" t="s">
        <v>87</v>
      </c>
      <c r="D47" s="173" t="s">
        <v>260</v>
      </c>
      <c r="E47" s="186">
        <v>14.0</v>
      </c>
      <c r="F47" s="187">
        <v>420.25</v>
      </c>
      <c r="G47" s="188">
        <v>46063.0</v>
      </c>
      <c r="H47" s="175" t="str">
        <f>IF(OR(D47="Sell to Trim", D47="Sell to Close"),F47/VLOOKUP(A47, 'Sector Holdings'!$B$3:$M$121, 11, FALSE) - 1, "N/A")</f>
        <v>N/A</v>
      </c>
      <c r="I47" s="176">
        <f t="shared" si="1"/>
        <v>-5883.5</v>
      </c>
      <c r="J47" s="170"/>
      <c r="K47" s="175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</row>
    <row r="48" ht="15.0" customHeight="1">
      <c r="A48" s="137" t="s">
        <v>218</v>
      </c>
      <c r="B48" s="172" t="str">
        <f>IFERROR(__xludf.DUMMYFUNCTION("GOOGLEFINANCE(A48,""NAME"")"),"Taiwan Semicndctr Mnufctrng Co Ltd")</f>
        <v>Taiwan Semicndctr Mnufctrng Co Ltd</v>
      </c>
      <c r="C48" s="171" t="s">
        <v>87</v>
      </c>
      <c r="D48" s="173" t="s">
        <v>260</v>
      </c>
      <c r="E48" s="186">
        <v>66.0</v>
      </c>
      <c r="F48" s="187">
        <v>360.24</v>
      </c>
      <c r="G48" s="188">
        <v>46063.0</v>
      </c>
      <c r="H48" s="175" t="str">
        <f>IF(OR(D48="Sell to Trim", D48="Sell to Close"),F48/VLOOKUP(A48, 'Sector Holdings'!$B$3:$M$121, 11, FALSE) - 1, "N/A")</f>
        <v>N/A</v>
      </c>
      <c r="I48" s="176">
        <f t="shared" si="1"/>
        <v>-23775.84</v>
      </c>
      <c r="J48" s="170"/>
      <c r="K48" s="175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</row>
    <row r="49" ht="15.75" customHeight="1">
      <c r="A49" s="137" t="s">
        <v>98</v>
      </c>
      <c r="B49" s="172" t="str">
        <f>IFERROR(__xludf.DUMMYFUNCTION("GOOGLEFINANCE(A49,""NAME"")"),"Cheniere Energy Inc")</f>
        <v>Cheniere Energy Inc</v>
      </c>
      <c r="C49" s="171" t="s">
        <v>77</v>
      </c>
      <c r="D49" s="173" t="s">
        <v>261</v>
      </c>
      <c r="E49" s="186">
        <v>5.0</v>
      </c>
      <c r="F49" s="187">
        <v>217.5</v>
      </c>
      <c r="G49" s="188">
        <v>46063.0</v>
      </c>
      <c r="H49" s="175">
        <f>IF(OR(D49="Sell to Trim", D49="Sell to Close"),F49/VLOOKUP(A49, 'Sector Holdings'!$B$3:$M$121, 11, FALSE) - 1, "N/A")</f>
        <v>2.339987715</v>
      </c>
      <c r="I49" s="176">
        <f t="shared" si="1"/>
        <v>1087.5</v>
      </c>
      <c r="J49" s="170"/>
      <c r="K49" s="175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</row>
    <row r="50" ht="15.75" customHeight="1">
      <c r="A50" s="180" t="s">
        <v>207</v>
      </c>
      <c r="B50" s="181" t="str">
        <f>IFERROR(__xludf.DUMMYFUNCTION("GOOGLEFINANCE(A50,""NAME"")"),"Flowserve Corp")</f>
        <v>Flowserve Corp</v>
      </c>
      <c r="C50" s="180" t="s">
        <v>83</v>
      </c>
      <c r="D50" s="185" t="s">
        <v>264</v>
      </c>
      <c r="E50" s="180">
        <v>241.0</v>
      </c>
      <c r="F50" s="184">
        <v>89.49</v>
      </c>
      <c r="G50" s="182">
        <v>46066.0</v>
      </c>
      <c r="H50" s="175" t="str">
        <f>IF(OR(D50="Sell to Trim", D50="Sell to Close"),F50/VLOOKUP(A50, 'Sector Holdings'!$B$3:$M$121, 11, FALSE) - 1, "N/A")</f>
        <v>N/A</v>
      </c>
      <c r="I50" s="176">
        <f t="shared" si="1"/>
        <v>-21567.09</v>
      </c>
      <c r="J50" s="170"/>
      <c r="K50" s="175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</row>
    <row r="51" ht="15.75" customHeight="1">
      <c r="A51" s="171" t="s">
        <v>203</v>
      </c>
      <c r="B51" s="172" t="str">
        <f>IFERROR(__xludf.DUMMYFUNCTION("GOOGLEFINANCE(A51,""NAME"")"),"General Electric Co")</f>
        <v>General Electric Co</v>
      </c>
      <c r="C51" s="171" t="s">
        <v>83</v>
      </c>
      <c r="D51" s="173" t="s">
        <v>261</v>
      </c>
      <c r="E51" s="171">
        <v>103.0</v>
      </c>
      <c r="F51" s="179">
        <v>328.64</v>
      </c>
      <c r="G51" s="188">
        <v>46070.0</v>
      </c>
      <c r="H51" s="175">
        <f>IF(OR(D51="Sell to Trim", D51="Sell to Close"),F51/VLOOKUP(A51, 'Sector Holdings'!$B$3:$M$121, 11, FALSE) - 1, "N/A")</f>
        <v>1.126960664</v>
      </c>
      <c r="I51" s="176">
        <f t="shared" si="1"/>
        <v>33849.92</v>
      </c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</row>
    <row r="52" ht="15.75" customHeight="1">
      <c r="A52" s="171" t="s">
        <v>207</v>
      </c>
      <c r="B52" s="172" t="str">
        <f>IFERROR(__xludf.DUMMYFUNCTION("GOOGLEFINANCE(A52,""NAME"")"),"Flowserve Corp")</f>
        <v>Flowserve Corp</v>
      </c>
      <c r="C52" s="171" t="s">
        <v>83</v>
      </c>
      <c r="D52" s="173" t="s">
        <v>260</v>
      </c>
      <c r="E52" s="171">
        <v>54.0</v>
      </c>
      <c r="F52" s="179">
        <v>89.92</v>
      </c>
      <c r="G52" s="188">
        <v>46071.0</v>
      </c>
      <c r="H52" s="175" t="str">
        <f>IF(OR(D52="Sell to Trim", D52="Sell to Close"),F52/VLOOKUP(A52, 'Sector Holdings'!$B$3:$M$121, 11, FALSE) - 1, "N/A")</f>
        <v>N/A</v>
      </c>
      <c r="I52" s="176">
        <f t="shared" si="1"/>
        <v>-4855.68</v>
      </c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</row>
    <row r="53" ht="15.75" customHeight="1">
      <c r="A53" s="172"/>
      <c r="B53" s="172"/>
      <c r="C53" s="172"/>
      <c r="D53" s="172"/>
      <c r="E53" s="172"/>
      <c r="F53" s="176"/>
      <c r="G53" s="189"/>
      <c r="H53" s="175"/>
      <c r="I53" s="176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</row>
    <row r="54" ht="15.75" customHeight="1">
      <c r="A54" s="172"/>
      <c r="B54" s="172"/>
      <c r="C54" s="172"/>
      <c r="D54" s="172"/>
      <c r="E54" s="172"/>
      <c r="F54" s="176"/>
      <c r="G54" s="189"/>
      <c r="H54" s="175"/>
      <c r="I54" s="176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</row>
    <row r="55" ht="15.75" customHeight="1">
      <c r="A55" s="172"/>
      <c r="B55" s="172"/>
      <c r="C55" s="172"/>
      <c r="D55" s="172"/>
      <c r="E55" s="172"/>
      <c r="F55" s="176"/>
      <c r="G55" s="189"/>
      <c r="H55" s="175"/>
      <c r="I55" s="176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</row>
    <row r="56" ht="15.75" customHeight="1">
      <c r="A56" s="172"/>
      <c r="B56" s="172"/>
      <c r="C56" s="172"/>
      <c r="D56" s="172"/>
      <c r="E56" s="172"/>
      <c r="F56" s="176"/>
      <c r="G56" s="189"/>
      <c r="H56" s="175"/>
      <c r="I56" s="176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</row>
    <row r="57" ht="15.75" customHeight="1">
      <c r="A57" s="172"/>
      <c r="B57" s="172"/>
      <c r="C57" s="172"/>
      <c r="D57" s="172"/>
      <c r="E57" s="172"/>
      <c r="F57" s="176"/>
      <c r="G57" s="189"/>
      <c r="H57" s="175"/>
      <c r="I57" s="176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</row>
    <row r="58" ht="15.75" customHeight="1">
      <c r="A58" s="172"/>
      <c r="B58" s="172"/>
      <c r="C58" s="172"/>
      <c r="D58" s="172"/>
      <c r="E58" s="172"/>
      <c r="F58" s="176"/>
      <c r="G58" s="189"/>
      <c r="H58" s="175"/>
      <c r="I58" s="176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</row>
    <row r="59" ht="15.75" customHeight="1">
      <c r="A59" s="172"/>
      <c r="B59" s="172"/>
      <c r="C59" s="172"/>
      <c r="D59" s="172"/>
      <c r="E59" s="172"/>
      <c r="F59" s="176"/>
      <c r="G59" s="189"/>
      <c r="H59" s="175"/>
      <c r="I59" s="176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</row>
    <row r="60" ht="15.75" customHeight="1">
      <c r="A60" s="172"/>
      <c r="B60" s="172"/>
      <c r="C60" s="172"/>
      <c r="D60" s="172"/>
      <c r="E60" s="172"/>
      <c r="F60" s="176"/>
      <c r="G60" s="189"/>
      <c r="H60" s="175"/>
      <c r="I60" s="176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</row>
    <row r="61" ht="15.75" customHeight="1">
      <c r="A61" s="172"/>
      <c r="B61" s="172"/>
      <c r="C61" s="172"/>
      <c r="D61" s="172"/>
      <c r="E61" s="172"/>
      <c r="F61" s="176"/>
      <c r="G61" s="189"/>
      <c r="H61" s="175"/>
      <c r="I61" s="176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ht="15.75" customHeight="1">
      <c r="A62" s="172"/>
      <c r="B62" s="172"/>
      <c r="C62" s="172"/>
      <c r="D62" s="172"/>
      <c r="E62" s="172"/>
      <c r="F62" s="176"/>
      <c r="G62" s="189"/>
      <c r="H62" s="175"/>
      <c r="I62" s="176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</row>
    <row r="63" ht="15.75" customHeight="1">
      <c r="A63" s="172"/>
      <c r="B63" s="172"/>
      <c r="C63" s="172"/>
      <c r="D63" s="172"/>
      <c r="E63" s="172"/>
      <c r="F63" s="176"/>
      <c r="G63" s="189"/>
      <c r="H63" s="175"/>
      <c r="I63" s="176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</row>
    <row r="64" ht="15.75" customHeight="1">
      <c r="A64" s="172"/>
      <c r="B64" s="172"/>
      <c r="C64" s="172"/>
      <c r="D64" s="172"/>
      <c r="E64" s="172"/>
      <c r="F64" s="176"/>
      <c r="G64" s="189"/>
      <c r="H64" s="175"/>
      <c r="I64" s="176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</row>
    <row r="65" ht="15.75" customHeight="1">
      <c r="A65" s="172"/>
      <c r="B65" s="172"/>
      <c r="C65" s="172"/>
      <c r="D65" s="172"/>
      <c r="E65" s="172"/>
      <c r="F65" s="176"/>
      <c r="G65" s="189"/>
      <c r="H65" s="175"/>
      <c r="I65" s="176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</row>
    <row r="66" ht="15.75" customHeight="1">
      <c r="A66" s="172"/>
      <c r="B66" s="172"/>
      <c r="C66" s="172"/>
      <c r="D66" s="172"/>
      <c r="E66" s="172"/>
      <c r="F66" s="176"/>
      <c r="G66" s="189"/>
      <c r="H66" s="175"/>
      <c r="I66" s="176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</row>
    <row r="67" ht="15.75" customHeight="1">
      <c r="A67" s="172"/>
      <c r="B67" s="172"/>
      <c r="C67" s="172"/>
      <c r="D67" s="172"/>
      <c r="E67" s="172"/>
      <c r="F67" s="176"/>
      <c r="G67" s="189"/>
      <c r="H67" s="175"/>
      <c r="I67" s="176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</row>
    <row r="68" ht="15.75" customHeight="1">
      <c r="A68" s="172"/>
      <c r="B68" s="172"/>
      <c r="C68" s="172"/>
      <c r="D68" s="172"/>
      <c r="E68" s="172"/>
      <c r="F68" s="176"/>
      <c r="G68" s="189"/>
      <c r="H68" s="175"/>
      <c r="I68" s="176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</row>
    <row r="69" ht="15.75" customHeight="1">
      <c r="A69" s="172"/>
      <c r="B69" s="172"/>
      <c r="C69" s="172"/>
      <c r="D69" s="172"/>
      <c r="E69" s="172"/>
      <c r="F69" s="176"/>
      <c r="G69" s="189"/>
      <c r="H69" s="175"/>
      <c r="I69" s="176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</row>
    <row r="70" ht="15.75" customHeight="1">
      <c r="A70" s="172"/>
      <c r="B70" s="172"/>
      <c r="C70" s="172"/>
      <c r="D70" s="172"/>
      <c r="E70" s="172"/>
      <c r="F70" s="176"/>
      <c r="G70" s="189"/>
      <c r="H70" s="175"/>
      <c r="I70" s="176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</row>
    <row r="71" ht="15.75" customHeight="1">
      <c r="A71" s="172"/>
      <c r="B71" s="172"/>
      <c r="C71" s="172"/>
      <c r="D71" s="172"/>
      <c r="E71" s="172"/>
      <c r="F71" s="176"/>
      <c r="G71" s="189"/>
      <c r="H71" s="175"/>
      <c r="I71" s="176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</row>
    <row r="72" ht="15.75" customHeight="1">
      <c r="A72" s="172"/>
      <c r="B72" s="172"/>
      <c r="C72" s="172"/>
      <c r="D72" s="172"/>
      <c r="E72" s="172"/>
      <c r="F72" s="176"/>
      <c r="G72" s="189"/>
      <c r="H72" s="175"/>
      <c r="I72" s="176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</row>
    <row r="73" ht="15.75" customHeight="1">
      <c r="A73" s="172"/>
      <c r="B73" s="172"/>
      <c r="C73" s="172"/>
      <c r="D73" s="172"/>
      <c r="E73" s="172"/>
      <c r="F73" s="176"/>
      <c r="G73" s="189"/>
      <c r="H73" s="175"/>
      <c r="I73" s="176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</row>
    <row r="74" ht="15.75" customHeight="1">
      <c r="A74" s="172"/>
      <c r="B74" s="172"/>
      <c r="C74" s="172"/>
      <c r="D74" s="172"/>
      <c r="E74" s="172"/>
      <c r="F74" s="176"/>
      <c r="G74" s="189"/>
      <c r="H74" s="175"/>
      <c r="I74" s="176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</row>
    <row r="75" ht="15.75" customHeight="1">
      <c r="A75" s="172"/>
      <c r="B75" s="172"/>
      <c r="C75" s="172"/>
      <c r="D75" s="172"/>
      <c r="E75" s="172"/>
      <c r="F75" s="176"/>
      <c r="G75" s="189"/>
      <c r="H75" s="175"/>
      <c r="I75" s="176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</row>
    <row r="76" ht="15.75" customHeight="1">
      <c r="A76" s="190"/>
      <c r="B76" s="172"/>
      <c r="C76" s="172"/>
      <c r="D76" s="172"/>
      <c r="E76" s="172"/>
      <c r="F76" s="176"/>
      <c r="G76" s="189"/>
      <c r="H76" s="175"/>
      <c r="I76" s="176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</row>
    <row r="77" ht="15.75" customHeight="1">
      <c r="A77" s="172"/>
      <c r="B77" s="172"/>
      <c r="C77" s="172"/>
      <c r="D77" s="172"/>
      <c r="E77" s="172"/>
      <c r="F77" s="176"/>
      <c r="G77" s="189"/>
      <c r="H77" s="175"/>
      <c r="I77" s="176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</row>
    <row r="78" ht="15.75" customHeight="1">
      <c r="A78" s="172"/>
      <c r="B78" s="172"/>
      <c r="C78" s="172"/>
      <c r="D78" s="172"/>
      <c r="E78" s="172"/>
      <c r="F78" s="176"/>
      <c r="G78" s="189"/>
      <c r="H78" s="175"/>
      <c r="I78" s="176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</row>
    <row r="79" ht="15.75" customHeight="1">
      <c r="A79" s="172"/>
      <c r="B79" s="172"/>
      <c r="C79" s="172"/>
      <c r="D79" s="172"/>
      <c r="E79" s="172"/>
      <c r="F79" s="176"/>
      <c r="G79" s="189"/>
      <c r="H79" s="175"/>
      <c r="I79" s="176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</row>
    <row r="80" ht="15.75" customHeight="1">
      <c r="A80" s="172"/>
      <c r="B80" s="172"/>
      <c r="C80" s="172"/>
      <c r="D80" s="172"/>
      <c r="E80" s="172"/>
      <c r="F80" s="176"/>
      <c r="G80" s="189"/>
      <c r="H80" s="175"/>
      <c r="I80" s="176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</row>
    <row r="81" ht="15.75" customHeight="1">
      <c r="A81" s="172"/>
      <c r="B81" s="172"/>
      <c r="C81" s="172"/>
      <c r="D81" s="172"/>
      <c r="E81" s="172"/>
      <c r="F81" s="176"/>
      <c r="G81" s="189"/>
      <c r="H81" s="175"/>
      <c r="I81" s="176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</row>
    <row r="82" ht="15.75" customHeight="1">
      <c r="A82" s="191"/>
      <c r="B82" s="181"/>
      <c r="C82" s="181"/>
      <c r="D82" s="181"/>
      <c r="E82" s="181"/>
      <c r="F82" s="181"/>
      <c r="G82" s="192"/>
      <c r="H82" s="183"/>
      <c r="I82" s="193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</row>
    <row r="83" ht="15.75" customHeight="1">
      <c r="A83" s="191"/>
      <c r="B83" s="181"/>
      <c r="C83" s="181"/>
      <c r="D83" s="181"/>
      <c r="E83" s="181"/>
      <c r="F83" s="193"/>
      <c r="G83" s="192"/>
      <c r="H83" s="183"/>
      <c r="I83" s="193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</row>
    <row r="84" ht="15.75" customHeight="1">
      <c r="A84" s="191"/>
      <c r="B84" s="181"/>
      <c r="C84" s="181"/>
      <c r="D84" s="181"/>
      <c r="E84" s="181"/>
      <c r="F84" s="193"/>
      <c r="G84" s="192"/>
      <c r="H84" s="183"/>
      <c r="I84" s="193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</row>
    <row r="85" ht="15.75" customHeight="1">
      <c r="A85" s="191"/>
      <c r="B85" s="181"/>
      <c r="C85" s="181"/>
      <c r="D85" s="181"/>
      <c r="E85" s="181"/>
      <c r="F85" s="193"/>
      <c r="G85" s="192"/>
      <c r="H85" s="183"/>
      <c r="I85" s="193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</row>
    <row r="86" ht="15.75" customHeight="1">
      <c r="A86" s="191"/>
      <c r="B86" s="181"/>
      <c r="C86" s="181"/>
      <c r="D86" s="181"/>
      <c r="E86" s="181"/>
      <c r="F86" s="193"/>
      <c r="G86" s="192"/>
      <c r="H86" s="183"/>
      <c r="I86" s="193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</row>
    <row r="87" ht="15.75" customHeight="1">
      <c r="A87" s="191"/>
      <c r="B87" s="181"/>
      <c r="C87" s="181"/>
      <c r="D87" s="181"/>
      <c r="E87" s="181"/>
      <c r="F87" s="193"/>
      <c r="G87" s="192"/>
      <c r="H87" s="183"/>
      <c r="I87" s="193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</row>
    <row r="88" ht="15.75" customHeight="1">
      <c r="A88" s="191"/>
      <c r="B88" s="181"/>
      <c r="C88" s="181"/>
      <c r="D88" s="181"/>
      <c r="E88" s="181"/>
      <c r="F88" s="193"/>
      <c r="G88" s="192"/>
      <c r="H88" s="183"/>
      <c r="I88" s="193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</row>
    <row r="89" ht="15.75" customHeight="1">
      <c r="A89" s="191"/>
      <c r="B89" s="181"/>
      <c r="C89" s="181"/>
      <c r="D89" s="181"/>
      <c r="E89" s="181"/>
      <c r="F89" s="193"/>
      <c r="G89" s="192"/>
      <c r="H89" s="183"/>
      <c r="I89" s="193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</row>
    <row r="90" ht="15.75" customHeight="1">
      <c r="A90" s="191"/>
      <c r="B90" s="181"/>
      <c r="C90" s="181"/>
      <c r="D90" s="181"/>
      <c r="E90" s="181"/>
      <c r="F90" s="193"/>
      <c r="G90" s="192"/>
      <c r="H90" s="183"/>
      <c r="I90" s="193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</row>
    <row r="91" ht="15.75" customHeight="1">
      <c r="A91" s="181"/>
      <c r="B91" s="181"/>
      <c r="C91" s="181"/>
      <c r="D91" s="181"/>
      <c r="E91" s="181"/>
      <c r="F91" s="194"/>
      <c r="G91" s="192"/>
      <c r="H91" s="183"/>
      <c r="I91" s="193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</row>
    <row r="92" ht="15.75" customHeight="1">
      <c r="A92" s="181"/>
      <c r="B92" s="181"/>
      <c r="C92" s="181"/>
      <c r="D92" s="181"/>
      <c r="E92" s="181"/>
      <c r="F92" s="193"/>
      <c r="G92" s="192"/>
      <c r="H92" s="183"/>
      <c r="I92" s="193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</row>
    <row r="93" ht="15.75" customHeight="1">
      <c r="A93" s="181"/>
      <c r="B93" s="181"/>
      <c r="C93" s="181"/>
      <c r="D93" s="181"/>
      <c r="E93" s="181"/>
      <c r="F93" s="193"/>
      <c r="G93" s="192"/>
      <c r="H93" s="183"/>
      <c r="I93" s="193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</row>
    <row r="94" ht="15.75" customHeight="1">
      <c r="A94" s="191"/>
      <c r="B94" s="181"/>
      <c r="C94" s="181"/>
      <c r="D94" s="181"/>
      <c r="E94" s="181"/>
      <c r="F94" s="193"/>
      <c r="G94" s="192"/>
      <c r="H94" s="183"/>
      <c r="I94" s="193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</row>
    <row r="95" ht="15.75" customHeight="1">
      <c r="A95" s="191"/>
      <c r="B95" s="181"/>
      <c r="C95" s="181"/>
      <c r="D95" s="181"/>
      <c r="E95" s="181"/>
      <c r="F95" s="193"/>
      <c r="G95" s="192"/>
      <c r="H95" s="183"/>
      <c r="I95" s="193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</row>
    <row r="96" ht="15.75" customHeight="1">
      <c r="A96" s="181"/>
      <c r="B96" s="181"/>
      <c r="C96" s="181"/>
      <c r="D96" s="181"/>
      <c r="E96" s="181"/>
      <c r="F96" s="193"/>
      <c r="G96" s="192"/>
      <c r="H96" s="183"/>
      <c r="I96" s="193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</row>
    <row r="97" ht="15.75" customHeight="1">
      <c r="A97" s="181"/>
      <c r="B97" s="181"/>
      <c r="C97" s="181"/>
      <c r="D97" s="181"/>
      <c r="E97" s="181"/>
      <c r="F97" s="193"/>
      <c r="G97" s="192"/>
      <c r="H97" s="183"/>
      <c r="I97" s="193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</row>
    <row r="98" ht="15.75" customHeight="1">
      <c r="A98" s="181"/>
      <c r="B98" s="181"/>
      <c r="C98" s="181"/>
      <c r="D98" s="181"/>
      <c r="E98" s="181"/>
      <c r="F98" s="193"/>
      <c r="G98" s="192"/>
      <c r="H98" s="183"/>
      <c r="I98" s="193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</row>
    <row r="99" ht="15.75" customHeight="1">
      <c r="A99" s="172"/>
      <c r="B99" s="172" t="str">
        <f>IFERROR(VLOOKUP($A99, 'Sector Holdings'!$B$3:$C$130, 2, FALSE),"N/A")</f>
        <v>N/A</v>
      </c>
      <c r="C99" s="170"/>
      <c r="D99" s="170"/>
      <c r="E99" s="170"/>
      <c r="F99" s="176"/>
      <c r="G99" s="189"/>
      <c r="H99" s="175" t="str">
        <f>IF(OR(D99="Sell to Trim", D99="Sell to Close"),F99/VLOOKUP(A99, 'Sector Holdings'!$B$3:$M$121, 11, FALSE) - 1, "N/A")</f>
        <v>N/A</v>
      </c>
      <c r="I99" s="176">
        <f t="shared" ref="I99:I100" si="2">F99*E99*-1</f>
        <v>0</v>
      </c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</row>
    <row r="100" ht="15.75" customHeight="1">
      <c r="A100" s="172"/>
      <c r="B100" s="172" t="str">
        <f>IFERROR(VLOOKUP($A100, 'Sector Holdings'!$B$3:$C$130, 2, FALSE),"N/A")</f>
        <v>N/A</v>
      </c>
      <c r="C100" s="170"/>
      <c r="D100" s="170"/>
      <c r="E100" s="170"/>
      <c r="F100" s="176"/>
      <c r="G100" s="189"/>
      <c r="H100" s="175" t="str">
        <f>IF(OR(D100="Sell to Trim", D100="Sell to Close"),F100/VLOOKUP(A100, 'Sector Holdings'!$B$3:$M$121, 11, FALSE) - 1, "N/A")</f>
        <v>N/A</v>
      </c>
      <c r="I100" s="176">
        <f t="shared" si="2"/>
        <v>0</v>
      </c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</row>
    <row r="101" ht="15.75" customHeight="1">
      <c r="A101" s="172"/>
      <c r="B101" s="170"/>
      <c r="C101" s="170"/>
      <c r="D101" s="170"/>
      <c r="E101" s="170"/>
      <c r="F101" s="176"/>
      <c r="G101" s="189"/>
      <c r="H101" s="175"/>
      <c r="I101" s="176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</row>
    <row r="102" ht="15.75" customHeight="1">
      <c r="A102" s="170"/>
      <c r="B102" s="170"/>
      <c r="C102" s="170"/>
      <c r="D102" s="170"/>
      <c r="E102" s="170"/>
      <c r="F102" s="176"/>
      <c r="G102" s="189"/>
      <c r="H102" s="175"/>
      <c r="I102" s="176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</row>
    <row r="103" ht="15.75" customHeight="1">
      <c r="A103" s="170"/>
      <c r="B103" s="170"/>
      <c r="C103" s="170"/>
      <c r="D103" s="170"/>
      <c r="E103" s="170"/>
      <c r="F103" s="176"/>
      <c r="G103" s="189"/>
      <c r="H103" s="175"/>
      <c r="I103" s="176"/>
      <c r="J103" s="170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</row>
    <row r="104" ht="15.75" customHeight="1">
      <c r="A104" s="172"/>
      <c r="B104" s="172"/>
      <c r="C104" s="172"/>
      <c r="D104" s="172"/>
      <c r="E104" s="172"/>
      <c r="F104" s="176"/>
      <c r="G104" s="189"/>
      <c r="H104" s="175"/>
      <c r="I104" s="176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</row>
    <row r="105" ht="15.75" customHeight="1">
      <c r="A105" s="190"/>
      <c r="B105" s="172"/>
      <c r="C105" s="172"/>
      <c r="D105" s="172"/>
      <c r="E105" s="172"/>
      <c r="F105" s="176"/>
      <c r="G105" s="189"/>
      <c r="H105" s="175"/>
      <c r="I105" s="176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</row>
    <row r="106" ht="15.75" customHeight="1">
      <c r="A106" s="190"/>
      <c r="B106" s="172"/>
      <c r="C106" s="172"/>
      <c r="D106" s="172"/>
      <c r="E106" s="172"/>
      <c r="F106" s="176"/>
      <c r="G106" s="189"/>
      <c r="H106" s="175"/>
      <c r="I106" s="176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</row>
    <row r="107" ht="15.75" customHeight="1">
      <c r="A107" s="190"/>
      <c r="B107" s="172"/>
      <c r="C107" s="172"/>
      <c r="D107" s="172"/>
      <c r="E107" s="172"/>
      <c r="F107" s="176"/>
      <c r="G107" s="189"/>
      <c r="H107" s="175"/>
      <c r="I107" s="176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</row>
    <row r="108" ht="15.75" customHeight="1">
      <c r="A108" s="190"/>
      <c r="B108" s="172"/>
      <c r="C108" s="172"/>
      <c r="D108" s="172"/>
      <c r="E108" s="172"/>
      <c r="F108" s="176"/>
      <c r="G108" s="189"/>
      <c r="H108" s="175"/>
      <c r="I108" s="176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</row>
    <row r="109" ht="15.75" customHeight="1">
      <c r="A109" s="190"/>
      <c r="B109" s="172"/>
      <c r="C109" s="172"/>
      <c r="D109" s="172"/>
      <c r="E109" s="172"/>
      <c r="F109" s="176"/>
      <c r="G109" s="189"/>
      <c r="H109" s="175"/>
      <c r="I109" s="176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</row>
    <row r="110" ht="15.75" customHeight="1">
      <c r="A110" s="190"/>
      <c r="B110" s="172"/>
      <c r="C110" s="172"/>
      <c r="D110" s="172"/>
      <c r="E110" s="172"/>
      <c r="F110" s="176"/>
      <c r="G110" s="189"/>
      <c r="H110" s="175"/>
      <c r="I110" s="176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</row>
    <row r="111" ht="15.75" customHeight="1">
      <c r="A111" s="172"/>
      <c r="B111" s="172"/>
      <c r="C111" s="172"/>
      <c r="D111" s="172"/>
      <c r="E111" s="172"/>
      <c r="F111" s="176"/>
      <c r="G111" s="189"/>
      <c r="H111" s="175"/>
      <c r="I111" s="176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</row>
    <row r="112" ht="15.75" customHeight="1">
      <c r="A112" s="190"/>
      <c r="B112" s="172"/>
      <c r="C112" s="172"/>
      <c r="D112" s="172"/>
      <c r="E112" s="172"/>
      <c r="F112" s="176"/>
      <c r="G112" s="189"/>
      <c r="H112" s="175"/>
      <c r="I112" s="176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</row>
    <row r="113" ht="15.75" customHeight="1">
      <c r="A113" s="190"/>
      <c r="B113" s="172"/>
      <c r="C113" s="172"/>
      <c r="D113" s="172"/>
      <c r="E113" s="172"/>
      <c r="F113" s="176"/>
      <c r="G113" s="189"/>
      <c r="H113" s="175"/>
      <c r="I113" s="176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</row>
    <row r="114" ht="15.75" customHeight="1">
      <c r="A114" s="190"/>
      <c r="B114" s="172"/>
      <c r="C114" s="172"/>
      <c r="D114" s="172"/>
      <c r="E114" s="172"/>
      <c r="F114" s="176"/>
      <c r="G114" s="189"/>
      <c r="H114" s="175"/>
      <c r="I114" s="176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</row>
    <row r="115" ht="15.75" customHeight="1">
      <c r="A115" s="190"/>
      <c r="B115" s="172"/>
      <c r="C115" s="172"/>
      <c r="D115" s="172"/>
      <c r="E115" s="172"/>
      <c r="F115" s="176"/>
      <c r="G115" s="189"/>
      <c r="H115" s="175"/>
      <c r="I115" s="176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</row>
    <row r="116" ht="15.75" customHeight="1">
      <c r="A116" s="190"/>
      <c r="B116" s="172"/>
      <c r="C116" s="172"/>
      <c r="D116" s="172"/>
      <c r="E116" s="172"/>
      <c r="F116" s="176"/>
      <c r="G116" s="189"/>
      <c r="H116" s="175"/>
      <c r="I116" s="176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</row>
    <row r="117" ht="15.75" customHeight="1">
      <c r="A117" s="190"/>
      <c r="B117" s="172"/>
      <c r="C117" s="172"/>
      <c r="D117" s="172"/>
      <c r="E117" s="172"/>
      <c r="F117" s="176"/>
      <c r="G117" s="189"/>
      <c r="H117" s="175"/>
      <c r="I117" s="176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</row>
    <row r="118" ht="15.75" customHeight="1">
      <c r="A118" s="190"/>
      <c r="B118" s="172"/>
      <c r="C118" s="172"/>
      <c r="D118" s="172"/>
      <c r="E118" s="172"/>
      <c r="F118" s="176"/>
      <c r="G118" s="189"/>
      <c r="H118" s="175"/>
      <c r="I118" s="176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</row>
    <row r="119" ht="15.75" customHeight="1">
      <c r="A119" s="190"/>
      <c r="B119" s="172"/>
      <c r="C119" s="172"/>
      <c r="D119" s="172"/>
      <c r="E119" s="172"/>
      <c r="F119" s="176"/>
      <c r="G119" s="189"/>
      <c r="H119" s="175"/>
      <c r="I119" s="176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</row>
    <row r="120" ht="15.75" customHeight="1">
      <c r="A120" s="190"/>
      <c r="B120" s="172"/>
      <c r="C120" s="172"/>
      <c r="D120" s="172"/>
      <c r="E120" s="172"/>
      <c r="F120" s="176"/>
      <c r="G120" s="189"/>
      <c r="H120" s="175"/>
      <c r="I120" s="176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</row>
    <row r="121" ht="15.75" customHeight="1">
      <c r="A121" s="190"/>
      <c r="B121" s="172"/>
      <c r="C121" s="172"/>
      <c r="D121" s="172"/>
      <c r="E121" s="172"/>
      <c r="F121" s="176"/>
      <c r="G121" s="189"/>
      <c r="H121" s="175"/>
      <c r="I121" s="176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</row>
    <row r="122" ht="15.75" customHeight="1">
      <c r="A122" s="190"/>
      <c r="B122" s="172"/>
      <c r="C122" s="172"/>
      <c r="D122" s="172"/>
      <c r="E122" s="172"/>
      <c r="F122" s="176"/>
      <c r="G122" s="189"/>
      <c r="H122" s="175"/>
      <c r="I122" s="176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</row>
    <row r="123" ht="15.75" customHeight="1">
      <c r="A123" s="190"/>
      <c r="B123" s="172"/>
      <c r="C123" s="172"/>
      <c r="D123" s="172"/>
      <c r="E123" s="172"/>
      <c r="F123" s="176"/>
      <c r="G123" s="189"/>
      <c r="H123" s="175"/>
      <c r="I123" s="176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</row>
    <row r="124" ht="15.75" customHeight="1">
      <c r="A124" s="172"/>
      <c r="B124" s="172"/>
      <c r="C124" s="172"/>
      <c r="D124" s="172"/>
      <c r="E124" s="172"/>
      <c r="F124" s="176"/>
      <c r="G124" s="189"/>
      <c r="H124" s="175"/>
      <c r="I124" s="176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</row>
    <row r="125" ht="15.75" customHeight="1">
      <c r="A125" s="170"/>
      <c r="B125" s="170"/>
      <c r="C125" s="170"/>
      <c r="D125" s="170"/>
      <c r="E125" s="170"/>
      <c r="F125" s="176"/>
      <c r="G125" s="189"/>
      <c r="H125" s="175"/>
      <c r="I125" s="176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</row>
    <row r="126" ht="15.75" customHeight="1">
      <c r="A126" s="190"/>
      <c r="B126" s="170"/>
      <c r="C126" s="170"/>
      <c r="D126" s="170"/>
      <c r="E126" s="170"/>
      <c r="F126" s="176"/>
      <c r="G126" s="189"/>
      <c r="H126" s="175"/>
      <c r="I126" s="176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</row>
    <row r="127" ht="15.75" customHeight="1">
      <c r="A127" s="190"/>
      <c r="B127" s="170"/>
      <c r="C127" s="170"/>
      <c r="D127" s="170"/>
      <c r="E127" s="170"/>
      <c r="F127" s="176"/>
      <c r="G127" s="189"/>
      <c r="H127" s="175"/>
      <c r="I127" s="176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</row>
    <row r="128" ht="15.75" customHeight="1">
      <c r="A128" s="190"/>
      <c r="B128" s="170"/>
      <c r="C128" s="170"/>
      <c r="D128" s="170"/>
      <c r="E128" s="170"/>
      <c r="F128" s="176"/>
      <c r="G128" s="189"/>
      <c r="H128" s="175"/>
      <c r="I128" s="176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</row>
    <row r="129" ht="15.75" customHeight="1">
      <c r="A129" s="190"/>
      <c r="B129" s="170"/>
      <c r="C129" s="170"/>
      <c r="D129" s="170"/>
      <c r="E129" s="170"/>
      <c r="F129" s="176"/>
      <c r="G129" s="189"/>
      <c r="H129" s="175"/>
      <c r="I129" s="176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</row>
    <row r="130" ht="15.75" customHeight="1">
      <c r="A130" s="190"/>
      <c r="B130" s="170"/>
      <c r="C130" s="170"/>
      <c r="D130" s="170"/>
      <c r="E130" s="170"/>
      <c r="F130" s="176"/>
      <c r="G130" s="189"/>
      <c r="H130" s="175"/>
      <c r="I130" s="176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</row>
    <row r="131" ht="15.75" customHeight="1">
      <c r="A131" s="170"/>
      <c r="B131" s="170"/>
      <c r="C131" s="170"/>
      <c r="D131" s="170"/>
      <c r="E131" s="170"/>
      <c r="F131" s="176"/>
      <c r="G131" s="189"/>
      <c r="H131" s="175"/>
      <c r="I131" s="176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</row>
    <row r="132" ht="15.75" customHeight="1">
      <c r="A132" s="170"/>
      <c r="B132" s="170"/>
      <c r="C132" s="170"/>
      <c r="D132" s="170"/>
      <c r="E132" s="170"/>
      <c r="F132" s="176"/>
      <c r="G132" s="189"/>
      <c r="H132" s="175"/>
      <c r="I132" s="176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</row>
    <row r="133" ht="15.75" customHeight="1">
      <c r="A133" s="190"/>
      <c r="B133" s="170"/>
      <c r="C133" s="170"/>
      <c r="D133" s="170"/>
      <c r="E133" s="170"/>
      <c r="F133" s="176"/>
      <c r="G133" s="189"/>
      <c r="H133" s="175"/>
      <c r="I133" s="176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</row>
    <row r="134" ht="15.75" customHeight="1">
      <c r="A134" s="172"/>
      <c r="B134" s="172"/>
      <c r="C134" s="172"/>
      <c r="D134" s="172"/>
      <c r="E134" s="172"/>
      <c r="F134" s="176"/>
      <c r="G134" s="189"/>
      <c r="H134" s="175"/>
      <c r="I134" s="176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</row>
    <row r="135" ht="15.75" customHeight="1">
      <c r="A135" s="172"/>
      <c r="B135" s="172"/>
      <c r="C135" s="172"/>
      <c r="D135" s="172"/>
      <c r="E135" s="172"/>
      <c r="F135" s="176"/>
      <c r="G135" s="189"/>
      <c r="H135" s="175"/>
      <c r="I135" s="176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</row>
    <row r="136" ht="15.75" customHeight="1">
      <c r="A136" s="190"/>
      <c r="B136" s="172"/>
      <c r="C136" s="172"/>
      <c r="D136" s="172"/>
      <c r="E136" s="172"/>
      <c r="F136" s="176"/>
      <c r="G136" s="189"/>
      <c r="H136" s="175"/>
      <c r="I136" s="176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</row>
    <row r="137" ht="15.75" customHeight="1">
      <c r="A137" s="172"/>
      <c r="B137" s="172"/>
      <c r="C137" s="172"/>
      <c r="D137" s="172"/>
      <c r="E137" s="172"/>
      <c r="F137" s="176"/>
      <c r="G137" s="189"/>
      <c r="H137" s="175"/>
      <c r="I137" s="176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</row>
    <row r="138" ht="15.75" customHeight="1">
      <c r="A138" s="172"/>
      <c r="B138" s="172"/>
      <c r="C138" s="172"/>
      <c r="D138" s="172"/>
      <c r="E138" s="172"/>
      <c r="F138" s="176"/>
      <c r="G138" s="189"/>
      <c r="H138" s="175"/>
      <c r="I138" s="176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</row>
    <row r="139" ht="15.75" customHeight="1">
      <c r="A139" s="190"/>
      <c r="B139" s="172"/>
      <c r="C139" s="172"/>
      <c r="D139" s="172"/>
      <c r="E139" s="172"/>
      <c r="F139" s="176"/>
      <c r="G139" s="189"/>
      <c r="H139" s="175"/>
      <c r="I139" s="176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</row>
    <row r="140" ht="15.75" customHeight="1">
      <c r="A140" s="170"/>
      <c r="B140" s="170"/>
      <c r="C140" s="170"/>
      <c r="D140" s="170"/>
      <c r="E140" s="170"/>
      <c r="F140" s="176"/>
      <c r="G140" s="189"/>
      <c r="H140" s="175"/>
      <c r="I140" s="176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</row>
    <row r="141" ht="15.75" customHeight="1">
      <c r="A141" s="170"/>
      <c r="B141" s="170"/>
      <c r="C141" s="170"/>
      <c r="D141" s="170"/>
      <c r="E141" s="170"/>
      <c r="F141" s="176"/>
      <c r="G141" s="189"/>
      <c r="H141" s="175"/>
      <c r="I141" s="176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</row>
    <row r="142" ht="15.75" customHeight="1">
      <c r="A142" s="170"/>
      <c r="B142" s="170"/>
      <c r="C142" s="170"/>
      <c r="D142" s="170"/>
      <c r="E142" s="170"/>
      <c r="F142" s="176"/>
      <c r="G142" s="189"/>
      <c r="H142" s="175"/>
      <c r="I142" s="176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</row>
    <row r="143" ht="15.75" customHeight="1">
      <c r="A143" s="170"/>
      <c r="B143" s="170"/>
      <c r="C143" s="170"/>
      <c r="D143" s="170"/>
      <c r="E143" s="170"/>
      <c r="F143" s="176"/>
      <c r="G143" s="189"/>
      <c r="H143" s="175"/>
      <c r="I143" s="176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</row>
    <row r="144" ht="15.75" customHeight="1">
      <c r="A144" s="170"/>
      <c r="B144" s="170"/>
      <c r="C144" s="170"/>
      <c r="D144" s="170"/>
      <c r="E144" s="170"/>
      <c r="F144" s="176"/>
      <c r="G144" s="189"/>
      <c r="H144" s="175"/>
      <c r="I144" s="176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</row>
    <row r="145" ht="15.75" customHeight="1">
      <c r="A145" s="170"/>
      <c r="B145" s="170"/>
      <c r="C145" s="170"/>
      <c r="D145" s="170"/>
      <c r="E145" s="170"/>
      <c r="F145" s="176"/>
      <c r="G145" s="189"/>
      <c r="H145" s="175"/>
      <c r="I145" s="176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</row>
    <row r="146" ht="15.75" customHeight="1">
      <c r="A146" s="170"/>
      <c r="B146" s="170"/>
      <c r="C146" s="170"/>
      <c r="D146" s="170"/>
      <c r="E146" s="170"/>
      <c r="F146" s="176"/>
      <c r="G146" s="189"/>
      <c r="H146" s="175"/>
      <c r="I146" s="176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</row>
    <row r="147" ht="15.75" customHeight="1">
      <c r="A147" s="170"/>
      <c r="B147" s="170"/>
      <c r="C147" s="170"/>
      <c r="D147" s="170"/>
      <c r="E147" s="170"/>
      <c r="F147" s="176"/>
      <c r="G147" s="189"/>
      <c r="H147" s="175"/>
      <c r="I147" s="176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</row>
    <row r="148" ht="15.75" customHeight="1">
      <c r="A148" s="170"/>
      <c r="B148" s="170"/>
      <c r="C148" s="170"/>
      <c r="D148" s="170"/>
      <c r="E148" s="170"/>
      <c r="F148" s="176"/>
      <c r="G148" s="189"/>
      <c r="H148" s="175"/>
      <c r="I148" s="176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</row>
    <row r="149" ht="15.75" customHeight="1">
      <c r="A149" s="170"/>
      <c r="B149" s="170"/>
      <c r="C149" s="170"/>
      <c r="D149" s="170"/>
      <c r="E149" s="170"/>
      <c r="F149" s="176"/>
      <c r="G149" s="189"/>
      <c r="H149" s="175"/>
      <c r="I149" s="176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</row>
    <row r="150" ht="15.75" customHeight="1">
      <c r="A150" s="170"/>
      <c r="B150" s="170"/>
      <c r="C150" s="170"/>
      <c r="D150" s="170"/>
      <c r="E150" s="170"/>
      <c r="F150" s="176"/>
      <c r="G150" s="189"/>
      <c r="H150" s="175"/>
      <c r="I150" s="176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</row>
    <row r="151" ht="15.75" customHeight="1">
      <c r="A151" s="170"/>
      <c r="B151" s="170"/>
      <c r="C151" s="170"/>
      <c r="D151" s="170"/>
      <c r="E151" s="170"/>
      <c r="F151" s="176"/>
      <c r="G151" s="189"/>
      <c r="H151" s="175"/>
      <c r="I151" s="176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</row>
    <row r="152" ht="15.75" customHeight="1">
      <c r="A152" s="170"/>
      <c r="B152" s="170"/>
      <c r="C152" s="170"/>
      <c r="D152" s="170"/>
      <c r="E152" s="170"/>
      <c r="F152" s="176"/>
      <c r="G152" s="189"/>
      <c r="H152" s="175"/>
      <c r="I152" s="176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</row>
    <row r="153" ht="15.75" customHeight="1">
      <c r="A153" s="170"/>
      <c r="B153" s="170"/>
      <c r="C153" s="170"/>
      <c r="D153" s="170"/>
      <c r="E153" s="170"/>
      <c r="F153" s="176"/>
      <c r="G153" s="189"/>
      <c r="H153" s="175"/>
      <c r="I153" s="176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</row>
    <row r="154" ht="15.75" customHeight="1">
      <c r="A154" s="170"/>
      <c r="B154" s="170"/>
      <c r="C154" s="170"/>
      <c r="D154" s="170"/>
      <c r="E154" s="170"/>
      <c r="F154" s="176"/>
      <c r="G154" s="189"/>
      <c r="H154" s="175"/>
      <c r="I154" s="176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</row>
    <row r="155" ht="15.75" customHeight="1">
      <c r="A155" s="170"/>
      <c r="B155" s="170"/>
      <c r="C155" s="170"/>
      <c r="D155" s="170"/>
      <c r="E155" s="170"/>
      <c r="F155" s="176"/>
      <c r="G155" s="189"/>
      <c r="H155" s="175"/>
      <c r="I155" s="176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</row>
    <row r="156" ht="15.75" customHeight="1">
      <c r="A156" s="170"/>
      <c r="B156" s="170"/>
      <c r="C156" s="170"/>
      <c r="D156" s="170"/>
      <c r="E156" s="170"/>
      <c r="F156" s="176"/>
      <c r="G156" s="189"/>
      <c r="H156" s="175"/>
      <c r="I156" s="176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</row>
    <row r="157" ht="15.75" customHeight="1">
      <c r="A157" s="170"/>
      <c r="B157" s="170"/>
      <c r="C157" s="170"/>
      <c r="D157" s="170"/>
      <c r="E157" s="170"/>
      <c r="F157" s="176"/>
      <c r="G157" s="189"/>
      <c r="H157" s="175"/>
      <c r="I157" s="176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</row>
    <row r="158" ht="15.75" customHeight="1">
      <c r="A158" s="170"/>
      <c r="B158" s="170"/>
      <c r="C158" s="170"/>
      <c r="D158" s="170"/>
      <c r="E158" s="170"/>
      <c r="F158" s="176"/>
      <c r="G158" s="189"/>
      <c r="H158" s="175"/>
      <c r="I158" s="176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</row>
    <row r="159" ht="15.75" customHeight="1">
      <c r="A159" s="170"/>
      <c r="B159" s="170"/>
      <c r="C159" s="170"/>
      <c r="D159" s="170"/>
      <c r="E159" s="170"/>
      <c r="F159" s="176"/>
      <c r="G159" s="189"/>
      <c r="H159" s="175"/>
      <c r="I159" s="176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</row>
    <row r="160" ht="15.75" customHeight="1">
      <c r="A160" s="172"/>
      <c r="B160" s="172"/>
      <c r="C160" s="172"/>
      <c r="D160" s="172"/>
      <c r="E160" s="172"/>
      <c r="F160" s="176"/>
      <c r="G160" s="189"/>
      <c r="H160" s="175"/>
      <c r="I160" s="176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</row>
    <row r="161" ht="15.75" customHeight="1">
      <c r="A161" s="172"/>
      <c r="B161" s="172"/>
      <c r="C161" s="172"/>
      <c r="D161" s="172"/>
      <c r="E161" s="172"/>
      <c r="F161" s="176"/>
      <c r="G161" s="189"/>
      <c r="H161" s="175"/>
      <c r="I161" s="176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</row>
    <row r="162" ht="15.75" customHeight="1">
      <c r="A162" s="172"/>
      <c r="B162" s="172"/>
      <c r="C162" s="172"/>
      <c r="D162" s="172"/>
      <c r="E162" s="172"/>
      <c r="F162" s="176"/>
      <c r="G162" s="189"/>
      <c r="H162" s="175"/>
      <c r="I162" s="176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</row>
    <row r="163" ht="15.75" customHeight="1">
      <c r="A163" s="172"/>
      <c r="B163" s="172"/>
      <c r="C163" s="172"/>
      <c r="D163" s="172"/>
      <c r="E163" s="172"/>
      <c r="F163" s="176"/>
      <c r="G163" s="189"/>
      <c r="H163" s="175"/>
      <c r="I163" s="176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</row>
    <row r="164" ht="15.75" customHeight="1">
      <c r="A164" s="172"/>
      <c r="B164" s="172"/>
      <c r="C164" s="172"/>
      <c r="D164" s="172"/>
      <c r="E164" s="172"/>
      <c r="F164" s="176"/>
      <c r="G164" s="189"/>
      <c r="H164" s="175"/>
      <c r="I164" s="176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</row>
    <row r="165" ht="15.75" customHeight="1">
      <c r="A165" s="172"/>
      <c r="B165" s="172"/>
      <c r="C165" s="172"/>
      <c r="D165" s="172"/>
      <c r="E165" s="172"/>
      <c r="F165" s="176"/>
      <c r="G165" s="189"/>
      <c r="H165" s="175"/>
      <c r="I165" s="176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</row>
    <row r="166" ht="15.75" customHeight="1">
      <c r="A166" s="172"/>
      <c r="B166" s="172"/>
      <c r="C166" s="172"/>
      <c r="D166" s="172"/>
      <c r="E166" s="172"/>
      <c r="F166" s="176"/>
      <c r="G166" s="189"/>
      <c r="H166" s="175"/>
      <c r="I166" s="176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</row>
    <row r="167" ht="15.75" customHeight="1">
      <c r="A167" s="170"/>
      <c r="B167" s="172" t="str">
        <f>IFERROR(VLOOKUP($A167, 'Sector Holdings'!$B$3:$C$130, 2, FALSE),"N/A")</f>
        <v>N/A</v>
      </c>
      <c r="C167" s="170"/>
      <c r="D167" s="170"/>
      <c r="E167" s="170"/>
      <c r="F167" s="176"/>
      <c r="G167" s="189"/>
      <c r="H167" s="175" t="str">
        <f>IF(OR(D167="Sell to Trim", D167="Sell to Close"),F167/VLOOKUP(A167, 'Sector Holdings'!$B$3:$M$121, 11, FALSE) - 1, "N/A")</f>
        <v>N/A</v>
      </c>
      <c r="I167" s="176">
        <f>F167*E167*-1</f>
        <v>0</v>
      </c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</row>
    <row r="168" ht="15.75" customHeight="1">
      <c r="A168" s="170"/>
      <c r="B168" s="170"/>
      <c r="C168" s="170"/>
      <c r="D168" s="170"/>
      <c r="E168" s="170"/>
      <c r="F168" s="176"/>
      <c r="G168" s="189"/>
      <c r="H168" s="175"/>
      <c r="I168" s="176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</row>
    <row r="169" ht="15.75" customHeight="1">
      <c r="A169" s="170"/>
      <c r="B169" s="170"/>
      <c r="C169" s="170"/>
      <c r="D169" s="170"/>
      <c r="E169" s="170"/>
      <c r="F169" s="176"/>
      <c r="G169" s="189"/>
      <c r="H169" s="175"/>
      <c r="I169" s="176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</row>
    <row r="170" ht="15.75" customHeight="1">
      <c r="A170" s="170"/>
      <c r="B170" s="170"/>
      <c r="C170" s="170"/>
      <c r="D170" s="170"/>
      <c r="E170" s="170"/>
      <c r="F170" s="176"/>
      <c r="G170" s="189"/>
      <c r="H170" s="175"/>
      <c r="I170" s="176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</row>
    <row r="171" ht="15.75" customHeight="1">
      <c r="A171" s="170"/>
      <c r="B171" s="170"/>
      <c r="C171" s="170"/>
      <c r="D171" s="170"/>
      <c r="E171" s="170"/>
      <c r="F171" s="176"/>
      <c r="G171" s="189"/>
      <c r="H171" s="175"/>
      <c r="I171" s="176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</row>
    <row r="172" ht="15.75" customHeight="1">
      <c r="A172" s="170"/>
      <c r="B172" s="170"/>
      <c r="C172" s="170"/>
      <c r="D172" s="170"/>
      <c r="E172" s="170"/>
      <c r="F172" s="176"/>
      <c r="G172" s="189"/>
      <c r="H172" s="175"/>
      <c r="I172" s="176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</row>
    <row r="173" ht="15.75" customHeight="1">
      <c r="A173" s="170"/>
      <c r="B173" s="170"/>
      <c r="C173" s="170"/>
      <c r="D173" s="170"/>
      <c r="E173" s="170"/>
      <c r="F173" s="176"/>
      <c r="G173" s="189"/>
      <c r="H173" s="175"/>
      <c r="I173" s="176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</row>
    <row r="174" ht="15.75" customHeight="1">
      <c r="A174" s="170"/>
      <c r="B174" s="170"/>
      <c r="C174" s="170"/>
      <c r="D174" s="170"/>
      <c r="E174" s="170"/>
      <c r="F174" s="176"/>
      <c r="G174" s="189"/>
      <c r="H174" s="175"/>
      <c r="I174" s="176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</row>
    <row r="175" ht="15.75" customHeight="1">
      <c r="A175" s="170"/>
      <c r="B175" s="170"/>
      <c r="C175" s="170"/>
      <c r="D175" s="170"/>
      <c r="E175" s="170"/>
      <c r="F175" s="176"/>
      <c r="G175" s="189"/>
      <c r="H175" s="175"/>
      <c r="I175" s="176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</row>
    <row r="176" ht="15.75" customHeight="1">
      <c r="A176" s="170"/>
      <c r="B176" s="170"/>
      <c r="C176" s="170"/>
      <c r="D176" s="170"/>
      <c r="E176" s="170"/>
      <c r="F176" s="176"/>
      <c r="G176" s="189"/>
      <c r="H176" s="175"/>
      <c r="I176" s="176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</row>
    <row r="177" ht="15.75" customHeight="1">
      <c r="A177" s="170"/>
      <c r="B177" s="170"/>
      <c r="C177" s="170"/>
      <c r="D177" s="170"/>
      <c r="E177" s="170"/>
      <c r="F177" s="176"/>
      <c r="G177" s="189"/>
      <c r="H177" s="175"/>
      <c r="I177" s="176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</row>
    <row r="178" ht="15.75" customHeight="1">
      <c r="A178" s="170"/>
      <c r="B178" s="170"/>
      <c r="C178" s="170"/>
      <c r="D178" s="170"/>
      <c r="E178" s="170"/>
      <c r="F178" s="176"/>
      <c r="G178" s="189"/>
      <c r="H178" s="175"/>
      <c r="I178" s="176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</row>
    <row r="179" ht="15.75" customHeight="1">
      <c r="A179" s="170"/>
      <c r="B179" s="170"/>
      <c r="C179" s="170"/>
      <c r="D179" s="170"/>
      <c r="E179" s="170"/>
      <c r="F179" s="176"/>
      <c r="G179" s="189"/>
      <c r="H179" s="175"/>
      <c r="I179" s="176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</row>
    <row r="180" ht="15.75" customHeight="1">
      <c r="A180" s="170"/>
      <c r="B180" s="170"/>
      <c r="C180" s="170"/>
      <c r="D180" s="170"/>
      <c r="E180" s="170"/>
      <c r="F180" s="176"/>
      <c r="G180" s="189"/>
      <c r="H180" s="175"/>
      <c r="I180" s="176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</row>
    <row r="181" ht="15.75" customHeight="1">
      <c r="A181" s="170"/>
      <c r="B181" s="170"/>
      <c r="C181" s="170"/>
      <c r="D181" s="170"/>
      <c r="E181" s="170"/>
      <c r="F181" s="176"/>
      <c r="G181" s="189"/>
      <c r="H181" s="175"/>
      <c r="I181" s="176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</row>
    <row r="182" ht="15.75" customHeight="1">
      <c r="A182" s="170"/>
      <c r="B182" s="170"/>
      <c r="C182" s="170"/>
      <c r="D182" s="170"/>
      <c r="E182" s="170"/>
      <c r="F182" s="176"/>
      <c r="G182" s="189"/>
      <c r="H182" s="175"/>
      <c r="I182" s="176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</row>
    <row r="183" ht="15.75" customHeight="1">
      <c r="A183" s="170"/>
      <c r="B183" s="170"/>
      <c r="C183" s="170"/>
      <c r="D183" s="170"/>
      <c r="E183" s="170"/>
      <c r="F183" s="176"/>
      <c r="G183" s="189"/>
      <c r="H183" s="175"/>
      <c r="I183" s="176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</row>
    <row r="184" ht="15.75" customHeight="1">
      <c r="A184" s="170"/>
      <c r="B184" s="170"/>
      <c r="C184" s="170"/>
      <c r="D184" s="170"/>
      <c r="E184" s="170"/>
      <c r="F184" s="176"/>
      <c r="G184" s="189"/>
      <c r="H184" s="175"/>
      <c r="I184" s="176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</row>
    <row r="185" ht="15.75" customHeight="1">
      <c r="A185" s="170"/>
      <c r="B185" s="170"/>
      <c r="C185" s="170"/>
      <c r="D185" s="170"/>
      <c r="E185" s="170"/>
      <c r="F185" s="176"/>
      <c r="G185" s="189"/>
      <c r="H185" s="175"/>
      <c r="I185" s="176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</row>
    <row r="186" ht="15.75" customHeight="1">
      <c r="A186" s="170"/>
      <c r="B186" s="170"/>
      <c r="C186" s="170"/>
      <c r="D186" s="170"/>
      <c r="E186" s="170"/>
      <c r="F186" s="176"/>
      <c r="G186" s="189"/>
      <c r="H186" s="175"/>
      <c r="I186" s="176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</row>
    <row r="187" ht="15.75" customHeight="1">
      <c r="A187" s="170"/>
      <c r="B187" s="170"/>
      <c r="C187" s="170"/>
      <c r="D187" s="170"/>
      <c r="E187" s="170"/>
      <c r="F187" s="176"/>
      <c r="G187" s="189"/>
      <c r="H187" s="175"/>
      <c r="I187" s="176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</row>
    <row r="188" ht="15.75" customHeight="1">
      <c r="A188" s="170"/>
      <c r="B188" s="170"/>
      <c r="C188" s="170"/>
      <c r="D188" s="170"/>
      <c r="E188" s="170"/>
      <c r="F188" s="176"/>
      <c r="G188" s="189"/>
      <c r="H188" s="175"/>
      <c r="I188" s="176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</row>
    <row r="189" ht="15.75" customHeight="1">
      <c r="A189" s="170"/>
      <c r="B189" s="170"/>
      <c r="C189" s="170"/>
      <c r="D189" s="170"/>
      <c r="E189" s="170"/>
      <c r="F189" s="176"/>
      <c r="G189" s="189"/>
      <c r="H189" s="175"/>
      <c r="I189" s="176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</row>
    <row r="190" ht="15.75" customHeight="1">
      <c r="A190" s="170"/>
      <c r="B190" s="170"/>
      <c r="C190" s="170"/>
      <c r="D190" s="170"/>
      <c r="E190" s="170"/>
      <c r="F190" s="176"/>
      <c r="G190" s="189"/>
      <c r="H190" s="175"/>
      <c r="I190" s="176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</row>
    <row r="191" ht="15.75" customHeight="1">
      <c r="A191" s="170"/>
      <c r="B191" s="170"/>
      <c r="C191" s="170"/>
      <c r="D191" s="170"/>
      <c r="E191" s="170"/>
      <c r="F191" s="176"/>
      <c r="G191" s="189"/>
      <c r="H191" s="175"/>
      <c r="I191" s="176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</row>
    <row r="192" ht="15.75" customHeight="1">
      <c r="A192" s="170"/>
      <c r="B192" s="170"/>
      <c r="C192" s="170"/>
      <c r="D192" s="170"/>
      <c r="E192" s="170"/>
      <c r="F192" s="176"/>
      <c r="G192" s="189"/>
      <c r="H192" s="175"/>
      <c r="I192" s="176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</row>
    <row r="193" ht="15.75" customHeight="1">
      <c r="A193" s="170"/>
      <c r="B193" s="170"/>
      <c r="C193" s="170"/>
      <c r="D193" s="170"/>
      <c r="E193" s="170"/>
      <c r="F193" s="176"/>
      <c r="G193" s="189"/>
      <c r="H193" s="175"/>
      <c r="I193" s="176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</row>
    <row r="194" ht="15.75" customHeight="1">
      <c r="A194" s="170"/>
      <c r="B194" s="170"/>
      <c r="C194" s="170"/>
      <c r="D194" s="170"/>
      <c r="E194" s="170"/>
      <c r="F194" s="176"/>
      <c r="G194" s="189"/>
      <c r="H194" s="175"/>
      <c r="I194" s="176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</row>
    <row r="195" ht="15.75" customHeight="1">
      <c r="A195" s="170"/>
      <c r="B195" s="170"/>
      <c r="C195" s="170"/>
      <c r="D195" s="170"/>
      <c r="E195" s="170"/>
      <c r="F195" s="176"/>
      <c r="G195" s="189"/>
      <c r="H195" s="175"/>
      <c r="I195" s="176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</row>
    <row r="196" ht="15.75" customHeight="1">
      <c r="A196" s="170"/>
      <c r="B196" s="170"/>
      <c r="C196" s="170"/>
      <c r="D196" s="170"/>
      <c r="E196" s="170"/>
      <c r="F196" s="176"/>
      <c r="G196" s="189"/>
      <c r="H196" s="175"/>
      <c r="I196" s="176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</row>
    <row r="197" ht="15.75" customHeight="1">
      <c r="A197" s="170"/>
      <c r="B197" s="170"/>
      <c r="C197" s="170"/>
      <c r="D197" s="170"/>
      <c r="E197" s="170"/>
      <c r="F197" s="176"/>
      <c r="G197" s="189"/>
      <c r="H197" s="175"/>
      <c r="I197" s="176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</row>
    <row r="198" ht="15.75" customHeight="1">
      <c r="A198" s="170"/>
      <c r="B198" s="170"/>
      <c r="C198" s="170"/>
      <c r="D198" s="170"/>
      <c r="E198" s="170"/>
      <c r="F198" s="176"/>
      <c r="G198" s="189"/>
      <c r="H198" s="175"/>
      <c r="I198" s="176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</row>
    <row r="199" ht="15.75" customHeight="1">
      <c r="A199" s="170"/>
      <c r="B199" s="170"/>
      <c r="C199" s="170"/>
      <c r="D199" s="170"/>
      <c r="E199" s="170"/>
      <c r="F199" s="176"/>
      <c r="G199" s="189"/>
      <c r="H199" s="175"/>
      <c r="I199" s="176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</row>
    <row r="200" ht="15.75" customHeight="1">
      <c r="A200" s="170"/>
      <c r="B200" s="170"/>
      <c r="C200" s="170"/>
      <c r="D200" s="170"/>
      <c r="E200" s="170"/>
      <c r="F200" s="176"/>
      <c r="G200" s="189"/>
      <c r="H200" s="175"/>
      <c r="I200" s="176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</row>
    <row r="201" ht="15.75" customHeight="1">
      <c r="A201" s="170"/>
      <c r="B201" s="170"/>
      <c r="C201" s="170"/>
      <c r="D201" s="170"/>
      <c r="E201" s="170"/>
      <c r="F201" s="176"/>
      <c r="G201" s="189"/>
      <c r="H201" s="175"/>
      <c r="I201" s="176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</row>
    <row r="202" ht="15.75" customHeight="1">
      <c r="A202" s="170"/>
      <c r="B202" s="170"/>
      <c r="C202" s="170"/>
      <c r="D202" s="170"/>
      <c r="E202" s="170"/>
      <c r="F202" s="176"/>
      <c r="G202" s="189"/>
      <c r="H202" s="175"/>
      <c r="I202" s="176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</row>
    <row r="203" ht="15.75" customHeight="1">
      <c r="A203" s="170"/>
      <c r="B203" s="170"/>
      <c r="C203" s="170"/>
      <c r="D203" s="170"/>
      <c r="E203" s="170"/>
      <c r="F203" s="176"/>
      <c r="G203" s="189"/>
      <c r="H203" s="175"/>
      <c r="I203" s="176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</row>
    <row r="204" ht="15.75" customHeight="1">
      <c r="A204" s="170"/>
      <c r="B204" s="170"/>
      <c r="C204" s="170"/>
      <c r="D204" s="170"/>
      <c r="E204" s="170"/>
      <c r="F204" s="176"/>
      <c r="G204" s="189"/>
      <c r="H204" s="175"/>
      <c r="I204" s="176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</row>
    <row r="205" ht="15.75" customHeight="1">
      <c r="A205" s="170"/>
      <c r="B205" s="170"/>
      <c r="C205" s="170"/>
      <c r="D205" s="170"/>
      <c r="E205" s="170"/>
      <c r="F205" s="176"/>
      <c r="G205" s="189"/>
      <c r="H205" s="175"/>
      <c r="I205" s="176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</row>
    <row r="206" ht="15.75" customHeight="1">
      <c r="A206" s="170"/>
      <c r="B206" s="170"/>
      <c r="C206" s="170"/>
      <c r="D206" s="170"/>
      <c r="E206" s="170"/>
      <c r="F206" s="176"/>
      <c r="G206" s="189"/>
      <c r="H206" s="175"/>
      <c r="I206" s="176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</row>
    <row r="207" ht="15.75" customHeight="1">
      <c r="A207" s="170"/>
      <c r="B207" s="170"/>
      <c r="C207" s="170"/>
      <c r="D207" s="170"/>
      <c r="E207" s="170"/>
      <c r="F207" s="176"/>
      <c r="G207" s="189"/>
      <c r="H207" s="175"/>
      <c r="I207" s="176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</row>
    <row r="208" ht="15.75" customHeight="1">
      <c r="A208" s="170"/>
      <c r="B208" s="170"/>
      <c r="C208" s="170"/>
      <c r="D208" s="170"/>
      <c r="E208" s="170"/>
      <c r="F208" s="176"/>
      <c r="G208" s="189"/>
      <c r="H208" s="175"/>
      <c r="I208" s="176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</row>
    <row r="209" ht="15.75" customHeight="1">
      <c r="A209" s="170"/>
      <c r="B209" s="170"/>
      <c r="C209" s="170"/>
      <c r="D209" s="170"/>
      <c r="E209" s="170"/>
      <c r="F209" s="176"/>
      <c r="G209" s="189"/>
      <c r="H209" s="175"/>
      <c r="I209" s="176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</row>
    <row r="210" ht="15.75" customHeight="1">
      <c r="A210" s="170"/>
      <c r="B210" s="170"/>
      <c r="C210" s="170"/>
      <c r="D210" s="170"/>
      <c r="E210" s="170"/>
      <c r="F210" s="176"/>
      <c r="G210" s="189"/>
      <c r="H210" s="175"/>
      <c r="I210" s="176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</row>
    <row r="211" ht="15.75" customHeight="1">
      <c r="A211" s="170"/>
      <c r="B211" s="170"/>
      <c r="C211" s="170"/>
      <c r="D211" s="170"/>
      <c r="E211" s="170"/>
      <c r="F211" s="176"/>
      <c r="G211" s="189"/>
      <c r="H211" s="175"/>
      <c r="I211" s="176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</row>
    <row r="212" ht="15.75" customHeight="1">
      <c r="A212" s="170"/>
      <c r="B212" s="170"/>
      <c r="C212" s="170"/>
      <c r="D212" s="170"/>
      <c r="E212" s="170"/>
      <c r="F212" s="176"/>
      <c r="G212" s="189"/>
      <c r="H212" s="175"/>
      <c r="I212" s="176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</row>
    <row r="213" ht="15.75" customHeight="1">
      <c r="A213" s="170"/>
      <c r="B213" s="170"/>
      <c r="C213" s="170"/>
      <c r="D213" s="170"/>
      <c r="E213" s="170"/>
      <c r="F213" s="176"/>
      <c r="G213" s="189"/>
      <c r="H213" s="175"/>
      <c r="I213" s="176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</row>
    <row r="214" ht="15.75" customHeight="1">
      <c r="A214" s="170"/>
      <c r="B214" s="170"/>
      <c r="C214" s="170"/>
      <c r="D214" s="170"/>
      <c r="E214" s="170"/>
      <c r="F214" s="176"/>
      <c r="G214" s="189"/>
      <c r="H214" s="175"/>
      <c r="I214" s="176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</row>
    <row r="215" ht="15.75" customHeight="1">
      <c r="A215" s="170"/>
      <c r="B215" s="170"/>
      <c r="C215" s="170"/>
      <c r="D215" s="170"/>
      <c r="E215" s="170"/>
      <c r="F215" s="176"/>
      <c r="G215" s="189"/>
      <c r="H215" s="175"/>
      <c r="I215" s="176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</row>
    <row r="216" ht="15.75" customHeight="1">
      <c r="A216" s="170"/>
      <c r="B216" s="170"/>
      <c r="C216" s="170"/>
      <c r="D216" s="170"/>
      <c r="E216" s="170"/>
      <c r="F216" s="176"/>
      <c r="G216" s="189"/>
      <c r="H216" s="175"/>
      <c r="I216" s="176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</row>
    <row r="217" ht="15.75" customHeight="1">
      <c r="A217" s="170"/>
      <c r="B217" s="170"/>
      <c r="C217" s="170"/>
      <c r="D217" s="170"/>
      <c r="E217" s="170"/>
      <c r="F217" s="176"/>
      <c r="G217" s="189"/>
      <c r="H217" s="175"/>
      <c r="I217" s="176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</row>
    <row r="218" ht="15.75" customHeight="1">
      <c r="A218" s="170"/>
      <c r="B218" s="170"/>
      <c r="C218" s="170"/>
      <c r="D218" s="170"/>
      <c r="E218" s="170"/>
      <c r="F218" s="176"/>
      <c r="G218" s="189"/>
      <c r="H218" s="175"/>
      <c r="I218" s="176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</row>
    <row r="219" ht="15.75" customHeight="1">
      <c r="A219" s="170"/>
      <c r="B219" s="170"/>
      <c r="C219" s="170"/>
      <c r="D219" s="170"/>
      <c r="E219" s="170"/>
      <c r="F219" s="176"/>
      <c r="G219" s="189"/>
      <c r="H219" s="175"/>
      <c r="I219" s="176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</row>
    <row r="220" ht="15.75" customHeight="1">
      <c r="A220" s="170"/>
      <c r="B220" s="170"/>
      <c r="C220" s="170"/>
      <c r="D220" s="170"/>
      <c r="E220" s="170"/>
      <c r="F220" s="176"/>
      <c r="G220" s="189"/>
      <c r="H220" s="175"/>
      <c r="I220" s="176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</row>
    <row r="221" ht="15.75" customHeight="1">
      <c r="A221" s="170"/>
      <c r="B221" s="170"/>
      <c r="C221" s="170"/>
      <c r="D221" s="170"/>
      <c r="E221" s="170"/>
      <c r="F221" s="176"/>
      <c r="G221" s="189"/>
      <c r="H221" s="175"/>
      <c r="I221" s="176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</row>
    <row r="222" ht="15.75" customHeight="1">
      <c r="A222" s="170"/>
      <c r="B222" s="170"/>
      <c r="C222" s="170"/>
      <c r="D222" s="170"/>
      <c r="E222" s="170"/>
      <c r="F222" s="176"/>
      <c r="G222" s="189"/>
      <c r="H222" s="175"/>
      <c r="I222" s="176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</row>
    <row r="223" ht="15.75" customHeight="1">
      <c r="A223" s="170"/>
      <c r="B223" s="170"/>
      <c r="C223" s="170"/>
      <c r="D223" s="170"/>
      <c r="E223" s="170"/>
      <c r="F223" s="176"/>
      <c r="G223" s="189"/>
      <c r="H223" s="175"/>
      <c r="I223" s="176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</row>
    <row r="224" ht="15.75" customHeight="1">
      <c r="A224" s="170"/>
      <c r="B224" s="170"/>
      <c r="C224" s="170"/>
      <c r="D224" s="170"/>
      <c r="E224" s="170"/>
      <c r="F224" s="176"/>
      <c r="G224" s="189"/>
      <c r="H224" s="175"/>
      <c r="I224" s="176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</row>
    <row r="225" ht="15.75" customHeight="1">
      <c r="A225" s="170"/>
      <c r="B225" s="170"/>
      <c r="C225" s="170"/>
      <c r="D225" s="170"/>
      <c r="E225" s="170"/>
      <c r="F225" s="176"/>
      <c r="G225" s="189"/>
      <c r="H225" s="175"/>
      <c r="I225" s="176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</row>
    <row r="226" ht="15.75" customHeight="1">
      <c r="A226" s="170"/>
      <c r="B226" s="170"/>
      <c r="C226" s="170"/>
      <c r="D226" s="170"/>
      <c r="E226" s="170"/>
      <c r="F226" s="176"/>
      <c r="G226" s="189"/>
      <c r="H226" s="175"/>
      <c r="I226" s="176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</row>
    <row r="227" ht="15.75" customHeight="1">
      <c r="A227" s="170"/>
      <c r="B227" s="170"/>
      <c r="C227" s="170"/>
      <c r="D227" s="170"/>
      <c r="E227" s="170"/>
      <c r="F227" s="176"/>
      <c r="G227" s="189"/>
      <c r="H227" s="175"/>
      <c r="I227" s="176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</row>
    <row r="228" ht="15.75" customHeight="1">
      <c r="A228" s="170"/>
      <c r="B228" s="170"/>
      <c r="C228" s="170"/>
      <c r="D228" s="170"/>
      <c r="E228" s="170"/>
      <c r="F228" s="176"/>
      <c r="G228" s="189"/>
      <c r="H228" s="175"/>
      <c r="I228" s="176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</row>
    <row r="229" ht="15.75" customHeight="1">
      <c r="A229" s="170"/>
      <c r="B229" s="170"/>
      <c r="C229" s="170"/>
      <c r="D229" s="170"/>
      <c r="E229" s="170"/>
      <c r="F229" s="176"/>
      <c r="G229" s="189"/>
      <c r="H229" s="175"/>
      <c r="I229" s="176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</row>
    <row r="230" ht="15.75" customHeight="1">
      <c r="A230" s="170"/>
      <c r="B230" s="170"/>
      <c r="C230" s="170"/>
      <c r="D230" s="170"/>
      <c r="E230" s="170"/>
      <c r="F230" s="176"/>
      <c r="G230" s="189"/>
      <c r="H230" s="175"/>
      <c r="I230" s="176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</row>
    <row r="231" ht="15.75" customHeight="1">
      <c r="A231" s="170"/>
      <c r="B231" s="170"/>
      <c r="C231" s="170"/>
      <c r="D231" s="170"/>
      <c r="E231" s="170"/>
      <c r="F231" s="176"/>
      <c r="G231" s="189"/>
      <c r="H231" s="175"/>
      <c r="I231" s="176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</row>
    <row r="232" ht="15.75" customHeight="1">
      <c r="A232" s="170"/>
      <c r="B232" s="170"/>
      <c r="C232" s="170"/>
      <c r="D232" s="170"/>
      <c r="E232" s="170"/>
      <c r="F232" s="176"/>
      <c r="G232" s="189"/>
      <c r="H232" s="175"/>
      <c r="I232" s="176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</row>
    <row r="233" ht="15.75" customHeight="1">
      <c r="A233" s="170"/>
      <c r="B233" s="170"/>
      <c r="C233" s="170"/>
      <c r="D233" s="170"/>
      <c r="E233" s="170"/>
      <c r="F233" s="176"/>
      <c r="G233" s="189"/>
      <c r="H233" s="175"/>
      <c r="I233" s="176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</row>
    <row r="234" ht="15.75" customHeight="1">
      <c r="A234" s="170"/>
      <c r="B234" s="170"/>
      <c r="C234" s="170"/>
      <c r="D234" s="170"/>
      <c r="E234" s="170"/>
      <c r="F234" s="176"/>
      <c r="G234" s="189"/>
      <c r="H234" s="175"/>
      <c r="I234" s="176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</row>
    <row r="235" ht="15.75" customHeight="1">
      <c r="A235" s="170"/>
      <c r="B235" s="170"/>
      <c r="C235" s="170"/>
      <c r="D235" s="170"/>
      <c r="E235" s="170"/>
      <c r="F235" s="176"/>
      <c r="G235" s="189"/>
      <c r="H235" s="175"/>
      <c r="I235" s="176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</row>
    <row r="236" ht="15.75" customHeight="1">
      <c r="A236" s="170"/>
      <c r="B236" s="170"/>
      <c r="C236" s="170"/>
      <c r="D236" s="170"/>
      <c r="E236" s="170"/>
      <c r="F236" s="176"/>
      <c r="G236" s="189"/>
      <c r="H236" s="175"/>
      <c r="I236" s="176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</row>
    <row r="237" ht="15.75" customHeight="1">
      <c r="A237" s="170"/>
      <c r="B237" s="170"/>
      <c r="C237" s="170"/>
      <c r="D237" s="170"/>
      <c r="E237" s="170"/>
      <c r="F237" s="176"/>
      <c r="G237" s="189"/>
      <c r="H237" s="175"/>
      <c r="I237" s="176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</row>
    <row r="238" ht="15.75" customHeight="1">
      <c r="A238" s="170"/>
      <c r="B238" s="170"/>
      <c r="C238" s="170"/>
      <c r="D238" s="170"/>
      <c r="E238" s="170"/>
      <c r="F238" s="176"/>
      <c r="G238" s="189"/>
      <c r="H238" s="175"/>
      <c r="I238" s="176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</row>
    <row r="239" ht="15.75" customHeight="1">
      <c r="A239" s="170"/>
      <c r="B239" s="170"/>
      <c r="C239" s="170"/>
      <c r="D239" s="170"/>
      <c r="E239" s="170"/>
      <c r="F239" s="176"/>
      <c r="G239" s="189"/>
      <c r="H239" s="175"/>
      <c r="I239" s="176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</row>
    <row r="240" ht="15.75" customHeight="1">
      <c r="A240" s="170"/>
      <c r="B240" s="170"/>
      <c r="C240" s="170"/>
      <c r="D240" s="170"/>
      <c r="E240" s="170"/>
      <c r="F240" s="176"/>
      <c r="G240" s="189"/>
      <c r="H240" s="175"/>
      <c r="I240" s="176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</row>
    <row r="241" ht="15.75" customHeight="1">
      <c r="A241" s="170"/>
      <c r="B241" s="170"/>
      <c r="C241" s="170"/>
      <c r="D241" s="170"/>
      <c r="E241" s="170"/>
      <c r="F241" s="176"/>
      <c r="G241" s="189"/>
      <c r="H241" s="175"/>
      <c r="I241" s="176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</row>
    <row r="242" ht="15.75" customHeight="1">
      <c r="A242" s="170"/>
      <c r="B242" s="170"/>
      <c r="C242" s="170"/>
      <c r="D242" s="170"/>
      <c r="E242" s="170"/>
      <c r="F242" s="176"/>
      <c r="G242" s="189"/>
      <c r="H242" s="175"/>
      <c r="I242" s="176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</row>
    <row r="243" ht="15.75" customHeight="1">
      <c r="A243" s="170"/>
      <c r="B243" s="170"/>
      <c r="C243" s="170"/>
      <c r="D243" s="170"/>
      <c r="E243" s="170"/>
      <c r="F243" s="176"/>
      <c r="G243" s="189"/>
      <c r="H243" s="175"/>
      <c r="I243" s="176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</row>
    <row r="244" ht="15.75" customHeight="1">
      <c r="A244" s="170"/>
      <c r="B244" s="170"/>
      <c r="C244" s="170"/>
      <c r="D244" s="170"/>
      <c r="E244" s="170"/>
      <c r="F244" s="176"/>
      <c r="G244" s="189"/>
      <c r="H244" s="175"/>
      <c r="I244" s="176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</row>
    <row r="245" ht="15.75" customHeight="1">
      <c r="A245" s="170"/>
      <c r="B245" s="170"/>
      <c r="C245" s="170"/>
      <c r="D245" s="170"/>
      <c r="E245" s="170"/>
      <c r="F245" s="176"/>
      <c r="G245" s="189"/>
      <c r="H245" s="175"/>
      <c r="I245" s="176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</row>
    <row r="246" ht="15.75" customHeight="1">
      <c r="A246" s="170"/>
      <c r="B246" s="170"/>
      <c r="C246" s="170"/>
      <c r="D246" s="170"/>
      <c r="E246" s="170"/>
      <c r="F246" s="176"/>
      <c r="G246" s="189"/>
      <c r="H246" s="175"/>
      <c r="I246" s="176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</row>
    <row r="247" ht="15.75" customHeight="1">
      <c r="A247" s="170"/>
      <c r="B247" s="170"/>
      <c r="C247" s="170"/>
      <c r="D247" s="170"/>
      <c r="E247" s="170"/>
      <c r="F247" s="176"/>
      <c r="G247" s="189"/>
      <c r="H247" s="175"/>
      <c r="I247" s="176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</row>
    <row r="248" ht="15.75" customHeight="1">
      <c r="A248" s="170"/>
      <c r="B248" s="170"/>
      <c r="C248" s="170"/>
      <c r="D248" s="170"/>
      <c r="E248" s="170"/>
      <c r="F248" s="176"/>
      <c r="G248" s="189"/>
      <c r="H248" s="175"/>
      <c r="I248" s="176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</row>
    <row r="249" ht="15.75" customHeight="1">
      <c r="A249" s="170"/>
      <c r="B249" s="170"/>
      <c r="C249" s="170"/>
      <c r="D249" s="170"/>
      <c r="E249" s="170"/>
      <c r="F249" s="176"/>
      <c r="G249" s="189"/>
      <c r="H249" s="175"/>
      <c r="I249" s="176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</row>
    <row r="250" ht="15.75" customHeight="1">
      <c r="A250" s="170"/>
      <c r="B250" s="170"/>
      <c r="C250" s="170"/>
      <c r="D250" s="170"/>
      <c r="E250" s="170"/>
      <c r="F250" s="176"/>
      <c r="G250" s="189"/>
      <c r="H250" s="175"/>
      <c r="I250" s="176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</row>
    <row r="251" ht="15.75" customHeight="1">
      <c r="A251" s="170"/>
      <c r="B251" s="170"/>
      <c r="C251" s="170"/>
      <c r="D251" s="170"/>
      <c r="E251" s="170"/>
      <c r="F251" s="176"/>
      <c r="G251" s="189"/>
      <c r="H251" s="175"/>
      <c r="I251" s="176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</row>
    <row r="252" ht="15.75" customHeight="1">
      <c r="A252" s="170"/>
      <c r="B252" s="170"/>
      <c r="C252" s="170"/>
      <c r="D252" s="170"/>
      <c r="E252" s="170"/>
      <c r="F252" s="176"/>
      <c r="G252" s="189"/>
      <c r="H252" s="175"/>
      <c r="I252" s="176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</row>
    <row r="253" ht="15.75" customHeight="1">
      <c r="A253" s="170"/>
      <c r="B253" s="170"/>
      <c r="C253" s="170"/>
      <c r="D253" s="170"/>
      <c r="E253" s="170"/>
      <c r="F253" s="176"/>
      <c r="G253" s="189"/>
      <c r="H253" s="175"/>
      <c r="I253" s="176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</row>
    <row r="254" ht="15.75" customHeight="1">
      <c r="A254" s="170"/>
      <c r="B254" s="170"/>
      <c r="C254" s="170"/>
      <c r="D254" s="170"/>
      <c r="E254" s="170"/>
      <c r="F254" s="176"/>
      <c r="G254" s="189"/>
      <c r="H254" s="175"/>
      <c r="I254" s="176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</row>
    <row r="255" ht="15.75" customHeight="1">
      <c r="A255" s="170"/>
      <c r="B255" s="170"/>
      <c r="C255" s="170"/>
      <c r="D255" s="170"/>
      <c r="E255" s="170"/>
      <c r="F255" s="176"/>
      <c r="G255" s="189"/>
      <c r="H255" s="175"/>
      <c r="I255" s="176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</row>
    <row r="256" ht="15.75" customHeight="1">
      <c r="A256" s="170"/>
      <c r="B256" s="170"/>
      <c r="C256" s="170"/>
      <c r="D256" s="170"/>
      <c r="E256" s="170"/>
      <c r="F256" s="176"/>
      <c r="G256" s="189"/>
      <c r="H256" s="175"/>
      <c r="I256" s="176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</row>
    <row r="257" ht="15.75" customHeight="1">
      <c r="A257" s="170"/>
      <c r="B257" s="170"/>
      <c r="C257" s="170"/>
      <c r="D257" s="170"/>
      <c r="E257" s="170"/>
      <c r="F257" s="176"/>
      <c r="G257" s="189"/>
      <c r="H257" s="175"/>
      <c r="I257" s="176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</row>
    <row r="258" ht="15.75" customHeight="1">
      <c r="A258" s="170"/>
      <c r="B258" s="170"/>
      <c r="C258" s="170"/>
      <c r="D258" s="170"/>
      <c r="E258" s="170"/>
      <c r="F258" s="176"/>
      <c r="G258" s="189"/>
      <c r="H258" s="175"/>
      <c r="I258" s="176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</row>
    <row r="259" ht="15.75" customHeight="1">
      <c r="A259" s="170"/>
      <c r="B259" s="170"/>
      <c r="C259" s="170"/>
      <c r="D259" s="170"/>
      <c r="E259" s="170"/>
      <c r="F259" s="176"/>
      <c r="G259" s="189"/>
      <c r="H259" s="175"/>
      <c r="I259" s="176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</row>
    <row r="260" ht="15.75" customHeight="1">
      <c r="A260" s="170"/>
      <c r="B260" s="170"/>
      <c r="C260" s="170"/>
      <c r="D260" s="170"/>
      <c r="E260" s="170"/>
      <c r="F260" s="176"/>
      <c r="G260" s="189"/>
      <c r="H260" s="175"/>
      <c r="I260" s="176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</row>
    <row r="261" ht="15.75" customHeight="1">
      <c r="A261" s="170"/>
      <c r="B261" s="170"/>
      <c r="C261" s="170"/>
      <c r="D261" s="170"/>
      <c r="E261" s="170"/>
      <c r="F261" s="176"/>
      <c r="G261" s="189"/>
      <c r="H261" s="175"/>
      <c r="I261" s="176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</row>
    <row r="262" ht="15.75" customHeight="1">
      <c r="A262" s="170"/>
      <c r="B262" s="170"/>
      <c r="C262" s="170"/>
      <c r="D262" s="170"/>
      <c r="E262" s="170"/>
      <c r="F262" s="176"/>
      <c r="G262" s="189"/>
      <c r="H262" s="175"/>
      <c r="I262" s="176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</row>
    <row r="263" ht="15.75" customHeight="1">
      <c r="A263" s="170"/>
      <c r="B263" s="170"/>
      <c r="C263" s="170"/>
      <c r="D263" s="170"/>
      <c r="E263" s="170"/>
      <c r="F263" s="176"/>
      <c r="G263" s="189"/>
      <c r="H263" s="175"/>
      <c r="I263" s="176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</row>
    <row r="264" ht="15.75" customHeight="1">
      <c r="A264" s="170"/>
      <c r="B264" s="170"/>
      <c r="C264" s="170"/>
      <c r="D264" s="170"/>
      <c r="E264" s="170"/>
      <c r="F264" s="176"/>
      <c r="G264" s="189"/>
      <c r="H264" s="175"/>
      <c r="I264" s="176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</row>
    <row r="265" ht="15.75" customHeight="1">
      <c r="A265" s="170"/>
      <c r="B265" s="170"/>
      <c r="C265" s="170"/>
      <c r="D265" s="170"/>
      <c r="E265" s="170"/>
      <c r="F265" s="176"/>
      <c r="G265" s="189"/>
      <c r="H265" s="175"/>
      <c r="I265" s="176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</row>
    <row r="266" ht="15.75" customHeight="1">
      <c r="A266" s="170"/>
      <c r="B266" s="170"/>
      <c r="C266" s="170"/>
      <c r="D266" s="170"/>
      <c r="E266" s="170"/>
      <c r="F266" s="176"/>
      <c r="G266" s="189"/>
      <c r="H266" s="175"/>
      <c r="I266" s="176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</row>
    <row r="267" ht="15.75" customHeight="1">
      <c r="A267" s="170"/>
      <c r="B267" s="170"/>
      <c r="C267" s="170"/>
      <c r="D267" s="170"/>
      <c r="E267" s="170"/>
      <c r="F267" s="176"/>
      <c r="G267" s="189"/>
      <c r="H267" s="175"/>
      <c r="I267" s="176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</row>
    <row r="268" ht="15.75" customHeight="1">
      <c r="A268" s="170"/>
      <c r="B268" s="170"/>
      <c r="C268" s="170"/>
      <c r="D268" s="170"/>
      <c r="E268" s="170"/>
      <c r="F268" s="176"/>
      <c r="G268" s="189"/>
      <c r="H268" s="175"/>
      <c r="I268" s="176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</row>
    <row r="269" ht="15.75" customHeight="1">
      <c r="A269" s="170"/>
      <c r="B269" s="170"/>
      <c r="C269" s="170"/>
      <c r="D269" s="170"/>
      <c r="E269" s="170"/>
      <c r="F269" s="176"/>
      <c r="G269" s="189"/>
      <c r="H269" s="175"/>
      <c r="I269" s="176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</row>
    <row r="270" ht="15.75" customHeight="1">
      <c r="A270" s="170"/>
      <c r="B270" s="170"/>
      <c r="C270" s="170"/>
      <c r="D270" s="170"/>
      <c r="E270" s="170"/>
      <c r="F270" s="176"/>
      <c r="G270" s="189"/>
      <c r="H270" s="175"/>
      <c r="I270" s="176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</row>
    <row r="271" ht="15.75" customHeight="1">
      <c r="A271" s="170"/>
      <c r="B271" s="170"/>
      <c r="C271" s="170"/>
      <c r="D271" s="170"/>
      <c r="E271" s="170"/>
      <c r="F271" s="176"/>
      <c r="G271" s="189"/>
      <c r="H271" s="175"/>
      <c r="I271" s="176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</row>
    <row r="272" ht="15.75" customHeight="1">
      <c r="A272" s="170"/>
      <c r="B272" s="170"/>
      <c r="C272" s="170"/>
      <c r="D272" s="170"/>
      <c r="E272" s="170"/>
      <c r="F272" s="176"/>
      <c r="G272" s="189"/>
      <c r="H272" s="175"/>
      <c r="I272" s="176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</row>
    <row r="273" ht="15.75" customHeight="1">
      <c r="A273" s="170"/>
      <c r="B273" s="170"/>
      <c r="C273" s="170"/>
      <c r="D273" s="170"/>
      <c r="E273" s="170"/>
      <c r="F273" s="176"/>
      <c r="G273" s="189"/>
      <c r="H273" s="175"/>
      <c r="I273" s="176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</row>
    <row r="274" ht="15.75" customHeight="1">
      <c r="A274" s="170"/>
      <c r="B274" s="170"/>
      <c r="C274" s="170"/>
      <c r="D274" s="170"/>
      <c r="E274" s="170"/>
      <c r="F274" s="176"/>
      <c r="G274" s="189"/>
      <c r="H274" s="175"/>
      <c r="I274" s="176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</row>
    <row r="275" ht="15.75" customHeight="1">
      <c r="A275" s="170"/>
      <c r="B275" s="170"/>
      <c r="C275" s="170"/>
      <c r="D275" s="170"/>
      <c r="E275" s="170"/>
      <c r="F275" s="176"/>
      <c r="G275" s="189"/>
      <c r="H275" s="175"/>
      <c r="I275" s="176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</row>
    <row r="276" ht="15.75" customHeight="1">
      <c r="A276" s="170"/>
      <c r="B276" s="170"/>
      <c r="C276" s="170"/>
      <c r="D276" s="170"/>
      <c r="E276" s="170"/>
      <c r="F276" s="176"/>
      <c r="G276" s="189"/>
      <c r="H276" s="175"/>
      <c r="I276" s="176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</row>
    <row r="277" ht="15.75" customHeight="1">
      <c r="A277" s="170"/>
      <c r="B277" s="170"/>
      <c r="C277" s="170"/>
      <c r="D277" s="170"/>
      <c r="E277" s="170"/>
      <c r="F277" s="176"/>
      <c r="G277" s="189"/>
      <c r="H277" s="175"/>
      <c r="I277" s="176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</row>
    <row r="278" ht="15.75" customHeight="1">
      <c r="A278" s="170"/>
      <c r="B278" s="170"/>
      <c r="C278" s="170"/>
      <c r="D278" s="170"/>
      <c r="E278" s="170"/>
      <c r="F278" s="176"/>
      <c r="G278" s="189"/>
      <c r="H278" s="175"/>
      <c r="I278" s="176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</row>
    <row r="279" ht="15.75" customHeight="1">
      <c r="A279" s="170"/>
      <c r="B279" s="170"/>
      <c r="C279" s="170"/>
      <c r="D279" s="170"/>
      <c r="E279" s="170"/>
      <c r="F279" s="176"/>
      <c r="G279" s="189"/>
      <c r="H279" s="175"/>
      <c r="I279" s="176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</row>
    <row r="280" ht="15.75" customHeight="1">
      <c r="A280" s="170"/>
      <c r="B280" s="170"/>
      <c r="C280" s="170"/>
      <c r="D280" s="170"/>
      <c r="E280" s="170"/>
      <c r="F280" s="176"/>
      <c r="G280" s="189"/>
      <c r="H280" s="175"/>
      <c r="I280" s="176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</row>
    <row r="281" ht="15.75" customHeight="1">
      <c r="A281" s="170"/>
      <c r="B281" s="170"/>
      <c r="C281" s="170"/>
      <c r="D281" s="170"/>
      <c r="E281" s="170"/>
      <c r="F281" s="176"/>
      <c r="G281" s="189"/>
      <c r="H281" s="175"/>
      <c r="I281" s="176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</row>
    <row r="282" ht="15.75" customHeight="1">
      <c r="A282" s="170"/>
      <c r="B282" s="170"/>
      <c r="C282" s="170"/>
      <c r="D282" s="170"/>
      <c r="E282" s="170"/>
      <c r="F282" s="176"/>
      <c r="G282" s="189"/>
      <c r="H282" s="175"/>
      <c r="I282" s="176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</row>
    <row r="283" ht="15.75" customHeight="1">
      <c r="A283" s="170"/>
      <c r="B283" s="170"/>
      <c r="C283" s="170"/>
      <c r="D283" s="170"/>
      <c r="E283" s="170"/>
      <c r="F283" s="176"/>
      <c r="G283" s="189"/>
      <c r="H283" s="175"/>
      <c r="I283" s="176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</row>
    <row r="284" ht="15.75" customHeight="1">
      <c r="A284" s="170"/>
      <c r="B284" s="170"/>
      <c r="C284" s="170"/>
      <c r="D284" s="170"/>
      <c r="E284" s="170"/>
      <c r="F284" s="176"/>
      <c r="G284" s="189"/>
      <c r="H284" s="175"/>
      <c r="I284" s="176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</row>
    <row r="285" ht="15.75" customHeight="1">
      <c r="A285" s="170"/>
      <c r="B285" s="170"/>
      <c r="C285" s="170"/>
      <c r="D285" s="170"/>
      <c r="E285" s="170"/>
      <c r="F285" s="176"/>
      <c r="G285" s="189"/>
      <c r="H285" s="175"/>
      <c r="I285" s="176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</row>
    <row r="286" ht="15.75" customHeight="1">
      <c r="A286" s="170"/>
      <c r="B286" s="170"/>
      <c r="C286" s="170"/>
      <c r="D286" s="170"/>
      <c r="E286" s="170"/>
      <c r="F286" s="176"/>
      <c r="G286" s="189"/>
      <c r="H286" s="175"/>
      <c r="I286" s="176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</row>
    <row r="287" ht="15.75" customHeight="1">
      <c r="A287" s="170"/>
      <c r="B287" s="170"/>
      <c r="C287" s="170"/>
      <c r="D287" s="170"/>
      <c r="E287" s="170"/>
      <c r="F287" s="176"/>
      <c r="G287" s="189"/>
      <c r="H287" s="175"/>
      <c r="I287" s="176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</row>
    <row r="288" ht="15.75" customHeight="1">
      <c r="A288" s="170"/>
      <c r="B288" s="170"/>
      <c r="C288" s="170"/>
      <c r="D288" s="170"/>
      <c r="E288" s="170"/>
      <c r="F288" s="176"/>
      <c r="G288" s="189"/>
      <c r="H288" s="175"/>
      <c r="I288" s="176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</row>
    <row r="289" ht="15.75" customHeight="1">
      <c r="A289" s="170"/>
      <c r="B289" s="170"/>
      <c r="C289" s="170"/>
      <c r="D289" s="170"/>
      <c r="E289" s="170"/>
      <c r="F289" s="176"/>
      <c r="G289" s="189"/>
      <c r="H289" s="175"/>
      <c r="I289" s="176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</row>
    <row r="290" ht="15.75" customHeight="1">
      <c r="A290" s="170"/>
      <c r="B290" s="170"/>
      <c r="C290" s="170"/>
      <c r="D290" s="170"/>
      <c r="E290" s="170"/>
      <c r="F290" s="176"/>
      <c r="G290" s="189"/>
      <c r="H290" s="175"/>
      <c r="I290" s="176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</row>
    <row r="291" ht="15.75" customHeight="1">
      <c r="A291" s="170"/>
      <c r="B291" s="170"/>
      <c r="C291" s="170"/>
      <c r="D291" s="170"/>
      <c r="E291" s="170"/>
      <c r="F291" s="176"/>
      <c r="G291" s="189"/>
      <c r="H291" s="175"/>
      <c r="I291" s="176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</row>
    <row r="292" ht="15.75" customHeight="1">
      <c r="A292" s="170"/>
      <c r="B292" s="170"/>
      <c r="C292" s="170"/>
      <c r="D292" s="170"/>
      <c r="E292" s="170"/>
      <c r="F292" s="176"/>
      <c r="G292" s="189"/>
      <c r="H292" s="175"/>
      <c r="I292" s="176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</row>
    <row r="293" ht="15.75" customHeight="1">
      <c r="A293" s="170"/>
      <c r="B293" s="170"/>
      <c r="C293" s="170"/>
      <c r="D293" s="170"/>
      <c r="E293" s="170"/>
      <c r="F293" s="176"/>
      <c r="G293" s="189"/>
      <c r="H293" s="175"/>
      <c r="I293" s="176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</row>
    <row r="294" ht="15.75" customHeight="1">
      <c r="A294" s="170"/>
      <c r="B294" s="170"/>
      <c r="C294" s="170"/>
      <c r="D294" s="170"/>
      <c r="E294" s="170"/>
      <c r="F294" s="176"/>
      <c r="G294" s="189"/>
      <c r="H294" s="175"/>
      <c r="I294" s="176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</row>
    <row r="295" ht="15.75" customHeight="1">
      <c r="A295" s="170"/>
      <c r="B295" s="170"/>
      <c r="C295" s="170"/>
      <c r="D295" s="170"/>
      <c r="E295" s="170"/>
      <c r="F295" s="176"/>
      <c r="G295" s="189"/>
      <c r="H295" s="175"/>
      <c r="I295" s="176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</row>
    <row r="296" ht="15.75" customHeight="1">
      <c r="A296" s="170"/>
      <c r="B296" s="170"/>
      <c r="C296" s="170"/>
      <c r="D296" s="170"/>
      <c r="E296" s="170"/>
      <c r="F296" s="176"/>
      <c r="G296" s="189"/>
      <c r="H296" s="175"/>
      <c r="I296" s="176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</row>
    <row r="297" ht="15.75" customHeight="1">
      <c r="A297" s="170"/>
      <c r="B297" s="170"/>
      <c r="C297" s="170"/>
      <c r="D297" s="170"/>
      <c r="E297" s="170"/>
      <c r="F297" s="176"/>
      <c r="G297" s="189"/>
      <c r="H297" s="175"/>
      <c r="I297" s="176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</row>
    <row r="298" ht="15.75" customHeight="1">
      <c r="A298" s="170"/>
      <c r="B298" s="170"/>
      <c r="C298" s="170"/>
      <c r="D298" s="170"/>
      <c r="E298" s="170"/>
      <c r="F298" s="176"/>
      <c r="G298" s="189"/>
      <c r="H298" s="175"/>
      <c r="I298" s="176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</row>
    <row r="299" ht="15.75" customHeight="1">
      <c r="A299" s="170"/>
      <c r="B299" s="170"/>
      <c r="C299" s="170"/>
      <c r="D299" s="170"/>
      <c r="E299" s="170"/>
      <c r="F299" s="176"/>
      <c r="G299" s="189"/>
      <c r="H299" s="175"/>
      <c r="I299" s="176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</row>
    <row r="300" ht="15.75" customHeight="1">
      <c r="A300" s="170"/>
      <c r="B300" s="170"/>
      <c r="C300" s="170"/>
      <c r="D300" s="170"/>
      <c r="E300" s="170"/>
      <c r="F300" s="176"/>
      <c r="G300" s="189"/>
      <c r="H300" s="175"/>
      <c r="I300" s="176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</row>
    <row r="301" ht="15.75" customHeight="1">
      <c r="A301" s="170"/>
      <c r="B301" s="170"/>
      <c r="C301" s="170"/>
      <c r="D301" s="170"/>
      <c r="E301" s="170"/>
      <c r="F301" s="176"/>
      <c r="G301" s="189"/>
      <c r="H301" s="175"/>
      <c r="I301" s="176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</row>
    <row r="302" ht="15.75" customHeight="1">
      <c r="A302" s="170"/>
      <c r="B302" s="170"/>
      <c r="C302" s="170"/>
      <c r="D302" s="170"/>
      <c r="E302" s="170"/>
      <c r="F302" s="176"/>
      <c r="G302" s="189"/>
      <c r="H302" s="175"/>
      <c r="I302" s="176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</row>
    <row r="303" ht="15.75" customHeight="1">
      <c r="A303" s="170"/>
      <c r="B303" s="170"/>
      <c r="C303" s="170"/>
      <c r="D303" s="170"/>
      <c r="E303" s="170"/>
      <c r="F303" s="176"/>
      <c r="G303" s="189"/>
      <c r="H303" s="175"/>
      <c r="I303" s="176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</row>
    <row r="304" ht="15.75" customHeight="1">
      <c r="A304" s="170"/>
      <c r="B304" s="170"/>
      <c r="C304" s="170"/>
      <c r="D304" s="170"/>
      <c r="E304" s="170"/>
      <c r="F304" s="176"/>
      <c r="G304" s="189"/>
      <c r="H304" s="175"/>
      <c r="I304" s="176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</row>
    <row r="305" ht="15.75" customHeight="1">
      <c r="A305" s="170"/>
      <c r="B305" s="170"/>
      <c r="C305" s="170"/>
      <c r="D305" s="170"/>
      <c r="E305" s="170"/>
      <c r="F305" s="176"/>
      <c r="G305" s="189"/>
      <c r="H305" s="175"/>
      <c r="I305" s="176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</row>
    <row r="306" ht="15.75" customHeight="1">
      <c r="A306" s="170"/>
      <c r="B306" s="170"/>
      <c r="C306" s="170"/>
      <c r="D306" s="170"/>
      <c r="E306" s="170"/>
      <c r="F306" s="176"/>
      <c r="G306" s="189"/>
      <c r="H306" s="175"/>
      <c r="I306" s="176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</row>
    <row r="307" ht="15.75" customHeight="1">
      <c r="A307" s="170"/>
      <c r="B307" s="170"/>
      <c r="C307" s="170"/>
      <c r="D307" s="170"/>
      <c r="E307" s="170"/>
      <c r="F307" s="176"/>
      <c r="G307" s="189"/>
      <c r="H307" s="175"/>
      <c r="I307" s="176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</row>
    <row r="308" ht="15.75" customHeight="1">
      <c r="A308" s="170"/>
      <c r="B308" s="170"/>
      <c r="C308" s="170"/>
      <c r="D308" s="170"/>
      <c r="E308" s="170"/>
      <c r="F308" s="176"/>
      <c r="G308" s="189"/>
      <c r="H308" s="175"/>
      <c r="I308" s="176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</row>
    <row r="309" ht="15.75" customHeight="1">
      <c r="A309" s="170"/>
      <c r="B309" s="170"/>
      <c r="C309" s="170"/>
      <c r="D309" s="170"/>
      <c r="E309" s="170"/>
      <c r="F309" s="176"/>
      <c r="G309" s="189"/>
      <c r="H309" s="175"/>
      <c r="I309" s="176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</row>
    <row r="310" ht="15.75" customHeight="1">
      <c r="A310" s="170"/>
      <c r="B310" s="170"/>
      <c r="C310" s="170"/>
      <c r="D310" s="170"/>
      <c r="E310" s="170"/>
      <c r="F310" s="176"/>
      <c r="G310" s="189"/>
      <c r="H310" s="175"/>
      <c r="I310" s="176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</row>
    <row r="311" ht="15.75" customHeight="1">
      <c r="A311" s="170"/>
      <c r="B311" s="170"/>
      <c r="C311" s="170"/>
      <c r="D311" s="170"/>
      <c r="E311" s="170"/>
      <c r="F311" s="176"/>
      <c r="G311" s="189"/>
      <c r="H311" s="175"/>
      <c r="I311" s="176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</row>
    <row r="312" ht="15.75" customHeight="1">
      <c r="A312" s="170"/>
      <c r="B312" s="170"/>
      <c r="C312" s="170"/>
      <c r="D312" s="170"/>
      <c r="E312" s="170"/>
      <c r="F312" s="176"/>
      <c r="G312" s="189"/>
      <c r="H312" s="175"/>
      <c r="I312" s="176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</row>
    <row r="313" ht="15.75" customHeight="1">
      <c r="A313" s="170"/>
      <c r="B313" s="170"/>
      <c r="C313" s="170"/>
      <c r="D313" s="170"/>
      <c r="E313" s="170"/>
      <c r="F313" s="176"/>
      <c r="G313" s="189"/>
      <c r="H313" s="175"/>
      <c r="I313" s="176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</row>
    <row r="314" ht="15.75" customHeight="1">
      <c r="A314" s="170"/>
      <c r="B314" s="170"/>
      <c r="C314" s="170"/>
      <c r="D314" s="170"/>
      <c r="E314" s="170"/>
      <c r="F314" s="176"/>
      <c r="G314" s="189"/>
      <c r="H314" s="175"/>
      <c r="I314" s="176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</row>
    <row r="315" ht="15.75" customHeight="1">
      <c r="A315" s="170"/>
      <c r="B315" s="170"/>
      <c r="C315" s="170"/>
      <c r="D315" s="170"/>
      <c r="E315" s="170"/>
      <c r="F315" s="176"/>
      <c r="G315" s="189"/>
      <c r="H315" s="175"/>
      <c r="I315" s="176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</row>
    <row r="316" ht="15.75" customHeight="1">
      <c r="A316" s="170"/>
      <c r="B316" s="170"/>
      <c r="C316" s="170"/>
      <c r="D316" s="170"/>
      <c r="E316" s="170"/>
      <c r="F316" s="176"/>
      <c r="G316" s="189"/>
      <c r="H316" s="175"/>
      <c r="I316" s="176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</row>
    <row r="317" ht="15.75" customHeight="1">
      <c r="A317" s="170"/>
      <c r="B317" s="170"/>
      <c r="C317" s="170"/>
      <c r="D317" s="170"/>
      <c r="E317" s="170"/>
      <c r="F317" s="176"/>
      <c r="G317" s="189"/>
      <c r="H317" s="175"/>
      <c r="I317" s="176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</row>
    <row r="318" ht="15.75" customHeight="1">
      <c r="A318" s="170"/>
      <c r="B318" s="170"/>
      <c r="C318" s="170"/>
      <c r="D318" s="170"/>
      <c r="E318" s="170"/>
      <c r="F318" s="176"/>
      <c r="G318" s="189"/>
      <c r="H318" s="175"/>
      <c r="I318" s="176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</row>
    <row r="319" ht="15.75" customHeight="1">
      <c r="A319" s="170"/>
      <c r="B319" s="170"/>
      <c r="C319" s="170"/>
      <c r="D319" s="170"/>
      <c r="E319" s="170"/>
      <c r="F319" s="176"/>
      <c r="G319" s="189"/>
      <c r="H319" s="175"/>
      <c r="I319" s="176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</row>
    <row r="320" ht="15.75" customHeight="1">
      <c r="A320" s="170"/>
      <c r="B320" s="170"/>
      <c r="C320" s="170"/>
      <c r="D320" s="170"/>
      <c r="E320" s="170"/>
      <c r="F320" s="176"/>
      <c r="G320" s="189"/>
      <c r="H320" s="175"/>
      <c r="I320" s="176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</row>
    <row r="321" ht="15.75" customHeight="1">
      <c r="A321" s="170"/>
      <c r="B321" s="170"/>
      <c r="C321" s="170"/>
      <c r="D321" s="170"/>
      <c r="E321" s="170"/>
      <c r="F321" s="176"/>
      <c r="G321" s="189"/>
      <c r="H321" s="175"/>
      <c r="I321" s="176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</row>
    <row r="322" ht="15.75" customHeight="1">
      <c r="A322" s="170"/>
      <c r="B322" s="170"/>
      <c r="C322" s="170"/>
      <c r="D322" s="170"/>
      <c r="E322" s="170"/>
      <c r="F322" s="176"/>
      <c r="G322" s="189"/>
      <c r="H322" s="175"/>
      <c r="I322" s="176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</row>
    <row r="323" ht="15.75" customHeight="1">
      <c r="A323" s="170"/>
      <c r="B323" s="170"/>
      <c r="C323" s="170"/>
      <c r="D323" s="170"/>
      <c r="E323" s="170"/>
      <c r="F323" s="176"/>
      <c r="G323" s="189"/>
      <c r="H323" s="175"/>
      <c r="I323" s="176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</row>
    <row r="324" ht="15.75" customHeight="1">
      <c r="A324" s="170"/>
      <c r="B324" s="170"/>
      <c r="C324" s="170"/>
      <c r="D324" s="170"/>
      <c r="E324" s="170"/>
      <c r="F324" s="176"/>
      <c r="G324" s="189"/>
      <c r="H324" s="175"/>
      <c r="I324" s="176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</row>
    <row r="325" ht="15.75" customHeight="1">
      <c r="A325" s="170"/>
      <c r="B325" s="170"/>
      <c r="C325" s="170"/>
      <c r="D325" s="170"/>
      <c r="E325" s="170"/>
      <c r="F325" s="176"/>
      <c r="G325" s="189"/>
      <c r="H325" s="175"/>
      <c r="I325" s="176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</row>
    <row r="326" ht="15.75" customHeight="1">
      <c r="A326" s="170"/>
      <c r="B326" s="170"/>
      <c r="C326" s="170"/>
      <c r="D326" s="170"/>
      <c r="E326" s="170"/>
      <c r="F326" s="176"/>
      <c r="G326" s="189"/>
      <c r="H326" s="175"/>
      <c r="I326" s="176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</row>
    <row r="327" ht="15.75" customHeight="1">
      <c r="A327" s="170"/>
      <c r="B327" s="170"/>
      <c r="C327" s="170"/>
      <c r="D327" s="170"/>
      <c r="E327" s="170"/>
      <c r="F327" s="176"/>
      <c r="G327" s="189"/>
      <c r="H327" s="175"/>
      <c r="I327" s="176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</row>
    <row r="328" ht="15.75" customHeight="1">
      <c r="A328" s="170"/>
      <c r="B328" s="170"/>
      <c r="C328" s="170"/>
      <c r="D328" s="170"/>
      <c r="E328" s="170"/>
      <c r="F328" s="176"/>
      <c r="G328" s="189"/>
      <c r="H328" s="175"/>
      <c r="I328" s="176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</row>
    <row r="329" ht="15.75" customHeight="1">
      <c r="A329" s="170"/>
      <c r="B329" s="170"/>
      <c r="C329" s="170"/>
      <c r="D329" s="170"/>
      <c r="E329" s="170"/>
      <c r="F329" s="176"/>
      <c r="G329" s="189"/>
      <c r="H329" s="175"/>
      <c r="I329" s="176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</row>
    <row r="330" ht="15.75" customHeight="1">
      <c r="A330" s="170"/>
      <c r="B330" s="170"/>
      <c r="C330" s="170"/>
      <c r="D330" s="170"/>
      <c r="E330" s="170"/>
      <c r="F330" s="176"/>
      <c r="G330" s="189"/>
      <c r="H330" s="175"/>
      <c r="I330" s="176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</row>
    <row r="331" ht="15.75" customHeight="1">
      <c r="A331" s="170"/>
      <c r="B331" s="170"/>
      <c r="C331" s="170"/>
      <c r="D331" s="170"/>
      <c r="E331" s="170"/>
      <c r="F331" s="176"/>
      <c r="G331" s="189"/>
      <c r="H331" s="175"/>
      <c r="I331" s="176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</row>
    <row r="332" ht="15.75" customHeight="1">
      <c r="A332" s="170"/>
      <c r="B332" s="170"/>
      <c r="C332" s="170"/>
      <c r="D332" s="170"/>
      <c r="E332" s="170"/>
      <c r="F332" s="176"/>
      <c r="G332" s="189"/>
      <c r="H332" s="175"/>
      <c r="I332" s="176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</row>
    <row r="333" ht="15.75" customHeight="1">
      <c r="A333" s="170"/>
      <c r="B333" s="170"/>
      <c r="C333" s="170"/>
      <c r="D333" s="170"/>
      <c r="E333" s="170"/>
      <c r="F333" s="176"/>
      <c r="G333" s="189"/>
      <c r="H333" s="175"/>
      <c r="I333" s="176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</row>
    <row r="334" ht="15.75" customHeight="1">
      <c r="A334" s="170"/>
      <c r="B334" s="170"/>
      <c r="C334" s="170"/>
      <c r="D334" s="170"/>
      <c r="E334" s="170"/>
      <c r="F334" s="176"/>
      <c r="G334" s="189"/>
      <c r="H334" s="175"/>
      <c r="I334" s="176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</row>
    <row r="335" ht="15.75" customHeight="1">
      <c r="A335" s="170"/>
      <c r="B335" s="170"/>
      <c r="C335" s="170"/>
      <c r="D335" s="170"/>
      <c r="E335" s="170"/>
      <c r="F335" s="176"/>
      <c r="G335" s="189"/>
      <c r="H335" s="175"/>
      <c r="I335" s="176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</row>
    <row r="336" ht="15.75" customHeight="1">
      <c r="A336" s="170"/>
      <c r="B336" s="170"/>
      <c r="C336" s="170"/>
      <c r="D336" s="170"/>
      <c r="E336" s="170"/>
      <c r="F336" s="176"/>
      <c r="G336" s="189"/>
      <c r="H336" s="175"/>
      <c r="I336" s="176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</row>
    <row r="337" ht="15.75" customHeight="1">
      <c r="A337" s="170"/>
      <c r="B337" s="170"/>
      <c r="C337" s="170"/>
      <c r="D337" s="170"/>
      <c r="E337" s="170"/>
      <c r="F337" s="176"/>
      <c r="G337" s="189"/>
      <c r="H337" s="175"/>
      <c r="I337" s="176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</row>
    <row r="338" ht="15.75" customHeight="1">
      <c r="A338" s="170"/>
      <c r="B338" s="170"/>
      <c r="C338" s="170"/>
      <c r="D338" s="170"/>
      <c r="E338" s="170"/>
      <c r="F338" s="176"/>
      <c r="G338" s="189"/>
      <c r="H338" s="175"/>
      <c r="I338" s="176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</row>
    <row r="339" ht="15.75" customHeight="1">
      <c r="A339" s="170"/>
      <c r="B339" s="170"/>
      <c r="C339" s="170"/>
      <c r="D339" s="170"/>
      <c r="E339" s="170"/>
      <c r="F339" s="176"/>
      <c r="G339" s="189"/>
      <c r="H339" s="175"/>
      <c r="I339" s="176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</row>
    <row r="340" ht="15.75" customHeight="1">
      <c r="A340" s="170"/>
      <c r="B340" s="170"/>
      <c r="C340" s="170"/>
      <c r="D340" s="170"/>
      <c r="E340" s="170"/>
      <c r="F340" s="176"/>
      <c r="G340" s="189"/>
      <c r="H340" s="175"/>
      <c r="I340" s="176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</row>
    <row r="341" ht="15.75" customHeight="1">
      <c r="A341" s="170"/>
      <c r="B341" s="170"/>
      <c r="C341" s="170"/>
      <c r="D341" s="170"/>
      <c r="E341" s="170"/>
      <c r="F341" s="176"/>
      <c r="G341" s="189"/>
      <c r="H341" s="175"/>
      <c r="I341" s="176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</row>
    <row r="342" ht="15.75" customHeight="1">
      <c r="A342" s="170"/>
      <c r="B342" s="170"/>
      <c r="C342" s="170"/>
      <c r="D342" s="170"/>
      <c r="E342" s="170"/>
      <c r="F342" s="176"/>
      <c r="G342" s="189"/>
      <c r="H342" s="175"/>
      <c r="I342" s="176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</row>
    <row r="343" ht="15.75" customHeight="1">
      <c r="A343" s="170"/>
      <c r="B343" s="170"/>
      <c r="C343" s="170"/>
      <c r="D343" s="170"/>
      <c r="E343" s="170"/>
      <c r="F343" s="176"/>
      <c r="G343" s="189"/>
      <c r="H343" s="175"/>
      <c r="I343" s="176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</row>
    <row r="344" ht="15.75" customHeight="1">
      <c r="A344" s="170"/>
      <c r="B344" s="170"/>
      <c r="C344" s="170"/>
      <c r="D344" s="170"/>
      <c r="E344" s="170"/>
      <c r="F344" s="176"/>
      <c r="G344" s="189"/>
      <c r="H344" s="175"/>
      <c r="I344" s="176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</row>
    <row r="345" ht="15.75" customHeight="1">
      <c r="A345" s="170"/>
      <c r="B345" s="170"/>
      <c r="C345" s="170"/>
      <c r="D345" s="170"/>
      <c r="E345" s="170"/>
      <c r="F345" s="176"/>
      <c r="G345" s="189"/>
      <c r="H345" s="175"/>
      <c r="I345" s="176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</row>
    <row r="346" ht="15.75" customHeight="1">
      <c r="A346" s="170"/>
      <c r="B346" s="170"/>
      <c r="C346" s="170"/>
      <c r="D346" s="170"/>
      <c r="E346" s="170"/>
      <c r="F346" s="176"/>
      <c r="G346" s="189"/>
      <c r="H346" s="175"/>
      <c r="I346" s="176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</row>
    <row r="347" ht="15.75" customHeight="1">
      <c r="A347" s="170"/>
      <c r="B347" s="170"/>
      <c r="C347" s="170"/>
      <c r="D347" s="170"/>
      <c r="E347" s="170"/>
      <c r="F347" s="176"/>
      <c r="G347" s="189"/>
      <c r="H347" s="175"/>
      <c r="I347" s="176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</row>
    <row r="348" ht="15.75" customHeight="1">
      <c r="A348" s="170"/>
      <c r="B348" s="170"/>
      <c r="C348" s="170"/>
      <c r="D348" s="170"/>
      <c r="E348" s="170"/>
      <c r="F348" s="176"/>
      <c r="G348" s="189"/>
      <c r="H348" s="175"/>
      <c r="I348" s="176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</row>
    <row r="349" ht="15.75" customHeight="1">
      <c r="A349" s="170"/>
      <c r="B349" s="170"/>
      <c r="C349" s="170"/>
      <c r="D349" s="170"/>
      <c r="E349" s="170"/>
      <c r="F349" s="176"/>
      <c r="G349" s="189"/>
      <c r="H349" s="175"/>
      <c r="I349" s="176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</row>
    <row r="350" ht="15.75" customHeight="1">
      <c r="A350" s="170"/>
      <c r="B350" s="170"/>
      <c r="C350" s="170"/>
      <c r="D350" s="170"/>
      <c r="E350" s="170"/>
      <c r="F350" s="176"/>
      <c r="G350" s="189"/>
      <c r="H350" s="175"/>
      <c r="I350" s="176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</row>
    <row r="351" ht="15.75" customHeight="1">
      <c r="A351" s="170"/>
      <c r="B351" s="170"/>
      <c r="C351" s="170"/>
      <c r="D351" s="170"/>
      <c r="E351" s="170"/>
      <c r="F351" s="176"/>
      <c r="G351" s="189"/>
      <c r="H351" s="175"/>
      <c r="I351" s="176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</row>
    <row r="352" ht="15.75" customHeight="1">
      <c r="A352" s="170"/>
      <c r="B352" s="170"/>
      <c r="C352" s="170"/>
      <c r="D352" s="170"/>
      <c r="E352" s="170"/>
      <c r="F352" s="176"/>
      <c r="G352" s="189"/>
      <c r="H352" s="175"/>
      <c r="I352" s="176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</row>
    <row r="353" ht="15.75" customHeight="1">
      <c r="A353" s="170"/>
      <c r="B353" s="170"/>
      <c r="C353" s="170"/>
      <c r="D353" s="170"/>
      <c r="E353" s="170"/>
      <c r="F353" s="176"/>
      <c r="G353" s="189"/>
      <c r="H353" s="175"/>
      <c r="I353" s="176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</row>
    <row r="354" ht="15.75" customHeight="1">
      <c r="A354" s="170"/>
      <c r="B354" s="170"/>
      <c r="C354" s="170"/>
      <c r="D354" s="170"/>
      <c r="E354" s="170"/>
      <c r="F354" s="176"/>
      <c r="G354" s="189"/>
      <c r="H354" s="175"/>
      <c r="I354" s="176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</row>
    <row r="355" ht="15.75" customHeight="1">
      <c r="A355" s="170"/>
      <c r="B355" s="170"/>
      <c r="C355" s="170"/>
      <c r="D355" s="170"/>
      <c r="E355" s="170"/>
      <c r="F355" s="176"/>
      <c r="G355" s="189"/>
      <c r="H355" s="175"/>
      <c r="I355" s="176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</row>
    <row r="356" ht="15.75" customHeight="1">
      <c r="A356" s="170"/>
      <c r="B356" s="170"/>
      <c r="C356" s="170"/>
      <c r="D356" s="170"/>
      <c r="E356" s="170"/>
      <c r="F356" s="176"/>
      <c r="G356" s="189"/>
      <c r="H356" s="175"/>
      <c r="I356" s="176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</row>
    <row r="357" ht="15.75" customHeight="1">
      <c r="A357" s="170"/>
      <c r="B357" s="170"/>
      <c r="C357" s="170"/>
      <c r="D357" s="170"/>
      <c r="E357" s="170"/>
      <c r="F357" s="176"/>
      <c r="G357" s="189"/>
      <c r="H357" s="175"/>
      <c r="I357" s="176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</row>
    <row r="358" ht="15.75" customHeight="1">
      <c r="A358" s="170"/>
      <c r="B358" s="170"/>
      <c r="C358" s="170"/>
      <c r="D358" s="170"/>
      <c r="E358" s="170"/>
      <c r="F358" s="176"/>
      <c r="G358" s="189"/>
      <c r="H358" s="175"/>
      <c r="I358" s="176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</row>
    <row r="359" ht="15.75" customHeight="1">
      <c r="A359" s="170"/>
      <c r="B359" s="170"/>
      <c r="C359" s="170"/>
      <c r="D359" s="170"/>
      <c r="E359" s="170"/>
      <c r="F359" s="176"/>
      <c r="G359" s="189"/>
      <c r="H359" s="175"/>
      <c r="I359" s="176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</row>
    <row r="360" ht="15.75" customHeight="1">
      <c r="A360" s="170"/>
      <c r="B360" s="170"/>
      <c r="C360" s="170"/>
      <c r="D360" s="170"/>
      <c r="E360" s="170"/>
      <c r="F360" s="176"/>
      <c r="G360" s="189"/>
      <c r="H360" s="175"/>
      <c r="I360" s="176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</row>
    <row r="361" ht="15.75" customHeight="1">
      <c r="A361" s="170"/>
      <c r="B361" s="170"/>
      <c r="C361" s="170"/>
      <c r="D361" s="170"/>
      <c r="E361" s="170"/>
      <c r="F361" s="176"/>
      <c r="G361" s="189"/>
      <c r="H361" s="175"/>
      <c r="I361" s="176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</row>
    <row r="362" ht="15.75" customHeight="1">
      <c r="A362" s="170"/>
      <c r="B362" s="170"/>
      <c r="C362" s="170"/>
      <c r="D362" s="170"/>
      <c r="E362" s="170"/>
      <c r="F362" s="176"/>
      <c r="G362" s="189"/>
      <c r="H362" s="175"/>
      <c r="I362" s="176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</row>
    <row r="363" ht="15.75" customHeight="1">
      <c r="A363" s="170"/>
      <c r="B363" s="170"/>
      <c r="C363" s="170"/>
      <c r="D363" s="170"/>
      <c r="E363" s="170"/>
      <c r="F363" s="176"/>
      <c r="G363" s="189"/>
      <c r="H363" s="175"/>
      <c r="I363" s="176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</row>
    <row r="364" ht="15.75" customHeight="1">
      <c r="A364" s="170"/>
      <c r="B364" s="170"/>
      <c r="C364" s="170"/>
      <c r="D364" s="170"/>
      <c r="E364" s="170"/>
      <c r="F364" s="176"/>
      <c r="G364" s="189"/>
      <c r="H364" s="175"/>
      <c r="I364" s="176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</row>
    <row r="365" ht="15.75" customHeight="1">
      <c r="A365" s="170"/>
      <c r="B365" s="170"/>
      <c r="C365" s="170"/>
      <c r="D365" s="170"/>
      <c r="E365" s="170"/>
      <c r="F365" s="176"/>
      <c r="G365" s="189"/>
      <c r="H365" s="175"/>
      <c r="I365" s="176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</row>
    <row r="366" ht="15.75" customHeight="1">
      <c r="A366" s="170"/>
      <c r="B366" s="170"/>
      <c r="C366" s="170"/>
      <c r="D366" s="170"/>
      <c r="E366" s="170"/>
      <c r="F366" s="176"/>
      <c r="G366" s="189"/>
      <c r="H366" s="175"/>
      <c r="I366" s="176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</row>
    <row r="367" ht="15.75" customHeight="1">
      <c r="A367" s="170"/>
      <c r="B367" s="170"/>
      <c r="C367" s="170"/>
      <c r="D367" s="170"/>
      <c r="E367" s="170"/>
      <c r="F367" s="176"/>
      <c r="G367" s="189"/>
      <c r="H367" s="175"/>
      <c r="I367" s="176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</row>
    <row r="368" ht="15.75" customHeight="1">
      <c r="A368" s="170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</row>
    <row r="369" ht="15.75" customHeight="1">
      <c r="A369" s="170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</row>
    <row r="370" ht="15.75" customHeight="1">
      <c r="A370" s="170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</row>
    <row r="371" ht="15.75" customHeight="1">
      <c r="A371" s="170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</row>
    <row r="372" ht="15.75" customHeight="1">
      <c r="A372" s="170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</row>
    <row r="373" ht="15.75" customHeight="1">
      <c r="A373" s="170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</row>
    <row r="374" ht="15.75" customHeight="1">
      <c r="A374" s="170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</row>
    <row r="375" ht="15.75" customHeight="1">
      <c r="A375" s="170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</row>
    <row r="376" ht="15.75" customHeight="1">
      <c r="A376" s="170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</row>
    <row r="377" ht="15.75" customHeight="1">
      <c r="A377" s="170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</row>
    <row r="378" ht="15.75" customHeight="1">
      <c r="A378" s="170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</row>
    <row r="379" ht="15.75" customHeight="1">
      <c r="A379" s="170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</row>
    <row r="380" ht="15.75" customHeight="1">
      <c r="A380" s="170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</row>
    <row r="381" ht="15.75" customHeight="1">
      <c r="A381" s="170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</row>
    <row r="382" ht="15.75" customHeight="1">
      <c r="A382" s="170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</row>
    <row r="383" ht="15.75" customHeight="1">
      <c r="A383" s="170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</row>
    <row r="384" ht="15.75" customHeight="1">
      <c r="A384" s="170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</row>
    <row r="385" ht="15.75" customHeight="1">
      <c r="A385" s="170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</row>
    <row r="386" ht="15.75" customHeight="1">
      <c r="A386" s="170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</row>
    <row r="387" ht="15.75" customHeight="1">
      <c r="A387" s="170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</row>
    <row r="388" ht="15.75" customHeight="1">
      <c r="A388" s="170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</row>
    <row r="389" ht="15.75" customHeight="1">
      <c r="A389" s="170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</row>
    <row r="390" ht="15.75" customHeight="1">
      <c r="A390" s="170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</row>
    <row r="391" ht="15.75" customHeight="1">
      <c r="A391" s="170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</row>
    <row r="392" ht="15.75" customHeight="1">
      <c r="A392" s="170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</row>
    <row r="393" ht="15.75" customHeight="1">
      <c r="A393" s="170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</row>
    <row r="394" ht="15.75" customHeight="1">
      <c r="A394" s="170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</row>
    <row r="395" ht="15.75" customHeight="1">
      <c r="A395" s="170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</row>
    <row r="396" ht="15.75" customHeight="1">
      <c r="A396" s="170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</row>
    <row r="397" ht="15.75" customHeight="1">
      <c r="A397" s="170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</row>
    <row r="398" ht="15.75" customHeight="1">
      <c r="A398" s="170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</row>
    <row r="399" ht="15.75" customHeight="1">
      <c r="A399" s="170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</row>
    <row r="400" ht="15.75" customHeight="1">
      <c r="A400" s="170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</row>
    <row r="401" ht="15.75" customHeight="1">
      <c r="A401" s="170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</row>
    <row r="402" ht="15.75" customHeight="1">
      <c r="A402" s="170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</row>
    <row r="403" ht="15.75" customHeight="1">
      <c r="A403" s="170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</row>
    <row r="404" ht="15.75" customHeight="1">
      <c r="A404" s="170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</row>
    <row r="405" ht="15.75" customHeight="1">
      <c r="A405" s="170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</row>
    <row r="406" ht="15.75" customHeight="1">
      <c r="A406" s="170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</row>
    <row r="407" ht="15.75" customHeight="1">
      <c r="A407" s="170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</row>
    <row r="408" ht="15.75" customHeight="1">
      <c r="A408" s="170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</row>
    <row r="409" ht="15.75" customHeight="1">
      <c r="A409" s="170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</row>
    <row r="410" ht="15.75" customHeight="1">
      <c r="A410" s="170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</row>
    <row r="411" ht="15.75" customHeight="1">
      <c r="A411" s="170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</row>
    <row r="412" ht="15.75" customHeight="1">
      <c r="A412" s="170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</row>
    <row r="413" ht="15.75" customHeight="1">
      <c r="A413" s="170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</row>
    <row r="414" ht="15.75" customHeight="1">
      <c r="A414" s="170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</row>
    <row r="415" ht="15.75" customHeight="1">
      <c r="A415" s="170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</row>
    <row r="416" ht="15.75" customHeight="1">
      <c r="A416" s="170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</row>
    <row r="417" ht="15.75" customHeight="1">
      <c r="A417" s="170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</row>
    <row r="418" ht="15.75" customHeight="1">
      <c r="A418" s="170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</row>
    <row r="419" ht="15.75" customHeight="1">
      <c r="A419" s="170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</row>
    <row r="420" ht="15.75" customHeight="1">
      <c r="A420" s="170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</row>
    <row r="421" ht="15.75" customHeight="1">
      <c r="A421" s="170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</row>
    <row r="422" ht="15.75" customHeight="1">
      <c r="A422" s="170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</row>
    <row r="423" ht="15.75" customHeight="1">
      <c r="A423" s="170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</row>
    <row r="424" ht="15.75" customHeight="1">
      <c r="A424" s="170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</row>
    <row r="425" ht="15.75" customHeight="1">
      <c r="A425" s="170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</row>
    <row r="426" ht="15.75" customHeight="1">
      <c r="A426" s="170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</row>
    <row r="427" ht="15.75" customHeight="1">
      <c r="A427" s="170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</row>
    <row r="428" ht="15.75" customHeight="1">
      <c r="A428" s="170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</row>
    <row r="429" ht="15.75" customHeight="1">
      <c r="A429" s="170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</row>
    <row r="430" ht="15.75" customHeight="1">
      <c r="A430" s="170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</row>
    <row r="431" ht="15.75" customHeight="1">
      <c r="A431" s="170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</row>
    <row r="432" ht="15.75" customHeight="1">
      <c r="A432" s="170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</row>
    <row r="433" ht="15.75" customHeight="1">
      <c r="A433" s="170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</row>
    <row r="434" ht="15.75" customHeight="1">
      <c r="A434" s="170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</row>
    <row r="435" ht="15.75" customHeight="1">
      <c r="A435" s="170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</row>
    <row r="436" ht="15.75" customHeight="1">
      <c r="A436" s="170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</row>
    <row r="437" ht="15.75" customHeight="1">
      <c r="A437" s="170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</row>
    <row r="438" ht="15.75" customHeight="1">
      <c r="A438" s="170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</row>
    <row r="439" ht="15.75" customHeight="1">
      <c r="A439" s="170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</row>
    <row r="440" ht="15.75" customHeight="1">
      <c r="A440" s="170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</row>
    <row r="441" ht="15.75" customHeight="1">
      <c r="A441" s="170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</row>
    <row r="442" ht="15.75" customHeight="1">
      <c r="A442" s="170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</row>
    <row r="443" ht="15.75" customHeight="1">
      <c r="A443" s="170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</row>
    <row r="444" ht="15.75" customHeight="1">
      <c r="A444" s="170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</row>
    <row r="445" ht="15.75" customHeight="1">
      <c r="A445" s="170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</row>
    <row r="446" ht="15.75" customHeight="1">
      <c r="A446" s="170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</row>
    <row r="447" ht="15.75" customHeight="1">
      <c r="A447" s="170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</row>
    <row r="448" ht="15.75" customHeight="1">
      <c r="A448" s="170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</row>
    <row r="449" ht="15.75" customHeight="1">
      <c r="A449" s="170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</row>
    <row r="450" ht="15.75" customHeight="1">
      <c r="A450" s="170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</row>
    <row r="451" ht="15.75" customHeight="1">
      <c r="A451" s="170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</row>
    <row r="452" ht="15.75" customHeight="1">
      <c r="A452" s="170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</row>
    <row r="453" ht="15.75" customHeight="1">
      <c r="A453" s="170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</row>
    <row r="454" ht="15.75" customHeight="1">
      <c r="A454" s="170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</row>
    <row r="455" ht="15.75" customHeight="1">
      <c r="A455" s="170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</row>
    <row r="456" ht="15.75" customHeight="1">
      <c r="A456" s="170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</row>
    <row r="457" ht="15.75" customHeight="1">
      <c r="A457" s="170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</row>
    <row r="458" ht="15.75" customHeight="1">
      <c r="A458" s="170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</row>
    <row r="459" ht="15.75" customHeight="1">
      <c r="A459" s="170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</row>
    <row r="460" ht="15.75" customHeight="1">
      <c r="A460" s="170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</row>
    <row r="461" ht="15.75" customHeight="1">
      <c r="A461" s="170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</row>
    <row r="462" ht="15.75" customHeight="1">
      <c r="A462" s="170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</row>
    <row r="463" ht="15.75" customHeight="1">
      <c r="A463" s="170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</row>
    <row r="464" ht="15.75" customHeight="1">
      <c r="A464" s="170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</row>
    <row r="465" ht="15.75" customHeight="1">
      <c r="A465" s="170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</row>
    <row r="466" ht="15.75" customHeight="1">
      <c r="A466" s="170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</row>
    <row r="467" ht="15.75" customHeight="1">
      <c r="A467" s="170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</row>
    <row r="468" ht="15.75" customHeight="1">
      <c r="A468" s="170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</row>
    <row r="469" ht="15.75" customHeight="1">
      <c r="A469" s="170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</row>
    <row r="470" ht="15.75" customHeight="1">
      <c r="A470" s="170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</row>
    <row r="471" ht="15.75" customHeight="1">
      <c r="A471" s="170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</row>
    <row r="472" ht="15.75" customHeight="1">
      <c r="A472" s="170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</row>
    <row r="473" ht="15.75" customHeight="1">
      <c r="A473" s="170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</row>
    <row r="474" ht="15.75" customHeight="1">
      <c r="A474" s="170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</row>
    <row r="475" ht="15.75" customHeight="1">
      <c r="A475" s="170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</row>
    <row r="476" ht="15.75" customHeight="1">
      <c r="A476" s="170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</row>
    <row r="477" ht="15.75" customHeight="1">
      <c r="A477" s="170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</row>
    <row r="478" ht="15.75" customHeight="1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</row>
    <row r="479" ht="15.75" customHeight="1">
      <c r="A479" s="170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</row>
    <row r="480" ht="15.75" customHeight="1">
      <c r="A480" s="170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</row>
    <row r="481" ht="15.75" customHeight="1">
      <c r="A481" s="170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</row>
    <row r="482" ht="15.75" customHeight="1">
      <c r="A482" s="170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</row>
    <row r="483" ht="15.75" customHeight="1">
      <c r="A483" s="170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</row>
    <row r="484" ht="15.75" customHeight="1">
      <c r="A484" s="170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</row>
    <row r="485" ht="15.75" customHeight="1">
      <c r="A485" s="170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</row>
    <row r="486" ht="15.75" customHeight="1">
      <c r="A486" s="170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</row>
    <row r="487" ht="15.75" customHeight="1">
      <c r="A487" s="170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</row>
    <row r="488" ht="15.75" customHeight="1">
      <c r="A488" s="170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</row>
    <row r="489" ht="15.75" customHeight="1">
      <c r="A489" s="170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</row>
    <row r="490" ht="15.75" customHeight="1">
      <c r="A490" s="170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</row>
    <row r="491" ht="15.75" customHeight="1">
      <c r="A491" s="170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</row>
    <row r="492" ht="15.75" customHeight="1">
      <c r="A492" s="170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</row>
    <row r="493" ht="15.75" customHeight="1">
      <c r="A493" s="170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</row>
    <row r="494" ht="15.75" customHeight="1">
      <c r="A494" s="170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</row>
    <row r="495" ht="15.75" customHeight="1">
      <c r="A495" s="170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</row>
    <row r="496" ht="15.75" customHeight="1">
      <c r="A496" s="170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</row>
    <row r="497" ht="15.75" customHeight="1">
      <c r="A497" s="170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</row>
    <row r="498" ht="15.75" customHeight="1">
      <c r="A498" s="170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</row>
    <row r="499" ht="15.75" customHeight="1">
      <c r="A499" s="170"/>
      <c r="B499" s="170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</row>
    <row r="500" ht="15.75" customHeight="1">
      <c r="A500" s="170"/>
      <c r="B500" s="170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</row>
    <row r="501" ht="15.75" customHeight="1">
      <c r="A501" s="170"/>
      <c r="B501" s="170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</row>
    <row r="502" ht="15.75" customHeight="1">
      <c r="A502" s="170"/>
      <c r="B502" s="170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</row>
    <row r="503" ht="15.75" customHeight="1">
      <c r="A503" s="170"/>
      <c r="B503" s="170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</row>
    <row r="504" ht="15.75" customHeight="1">
      <c r="A504" s="170"/>
      <c r="B504" s="170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</row>
    <row r="505" ht="15.75" customHeight="1">
      <c r="A505" s="170"/>
      <c r="B505" s="170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</row>
    <row r="506" ht="15.75" customHeight="1">
      <c r="A506" s="170"/>
      <c r="B506" s="170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</row>
    <row r="507" ht="15.75" customHeight="1">
      <c r="A507" s="170"/>
      <c r="B507" s="170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</row>
    <row r="508" ht="15.75" customHeight="1">
      <c r="A508" s="170"/>
      <c r="B508" s="170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0"/>
      <c r="V508" s="170"/>
      <c r="W508" s="170"/>
      <c r="X508" s="170"/>
      <c r="Y508" s="170"/>
      <c r="Z508" s="170"/>
    </row>
    <row r="509" ht="15.75" customHeight="1">
      <c r="A509" s="170"/>
      <c r="B509" s="170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0"/>
      <c r="V509" s="170"/>
      <c r="W509" s="170"/>
      <c r="X509" s="170"/>
      <c r="Y509" s="170"/>
      <c r="Z509" s="170"/>
    </row>
    <row r="510" ht="15.75" customHeight="1">
      <c r="A510" s="170"/>
      <c r="B510" s="170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0"/>
      <c r="V510" s="170"/>
      <c r="W510" s="170"/>
      <c r="X510" s="170"/>
      <c r="Y510" s="170"/>
      <c r="Z510" s="170"/>
    </row>
    <row r="511" ht="15.75" customHeight="1">
      <c r="A511" s="170"/>
      <c r="B511" s="170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0"/>
      <c r="V511" s="170"/>
      <c r="W511" s="170"/>
      <c r="X511" s="170"/>
      <c r="Y511" s="170"/>
      <c r="Z511" s="170"/>
    </row>
    <row r="512" ht="15.75" customHeight="1">
      <c r="A512" s="170"/>
      <c r="B512" s="170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</row>
    <row r="513" ht="15.75" customHeight="1">
      <c r="A513" s="170"/>
      <c r="B513" s="170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</row>
    <row r="514" ht="15.75" customHeight="1">
      <c r="A514" s="170"/>
      <c r="B514" s="170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0"/>
      <c r="V514" s="170"/>
      <c r="W514" s="170"/>
      <c r="X514" s="170"/>
      <c r="Y514" s="170"/>
      <c r="Z514" s="170"/>
    </row>
    <row r="515" ht="15.75" customHeight="1">
      <c r="A515" s="170"/>
      <c r="B515" s="170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0"/>
      <c r="V515" s="170"/>
      <c r="W515" s="170"/>
      <c r="X515" s="170"/>
      <c r="Y515" s="170"/>
      <c r="Z515" s="170"/>
    </row>
    <row r="516" ht="15.75" customHeight="1">
      <c r="A516" s="170"/>
      <c r="B516" s="170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0"/>
      <c r="V516" s="170"/>
      <c r="W516" s="170"/>
      <c r="X516" s="170"/>
      <c r="Y516" s="170"/>
      <c r="Z516" s="170"/>
    </row>
    <row r="517" ht="15.75" customHeight="1">
      <c r="A517" s="170"/>
      <c r="B517" s="170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0"/>
      <c r="V517" s="170"/>
      <c r="W517" s="170"/>
      <c r="X517" s="170"/>
      <c r="Y517" s="170"/>
      <c r="Z517" s="170"/>
    </row>
    <row r="518" ht="15.75" customHeight="1">
      <c r="A518" s="170"/>
      <c r="B518" s="170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</row>
    <row r="519" ht="15.75" customHeight="1">
      <c r="A519" s="170"/>
      <c r="B519" s="170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0"/>
      <c r="V519" s="170"/>
      <c r="W519" s="170"/>
      <c r="X519" s="170"/>
      <c r="Y519" s="170"/>
      <c r="Z519" s="170"/>
    </row>
    <row r="520" ht="15.75" customHeight="1">
      <c r="A520" s="170"/>
      <c r="B520" s="170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0"/>
      <c r="V520" s="170"/>
      <c r="W520" s="170"/>
      <c r="X520" s="170"/>
      <c r="Y520" s="170"/>
      <c r="Z520" s="170"/>
    </row>
    <row r="521" ht="15.75" customHeight="1">
      <c r="A521" s="170"/>
      <c r="B521" s="170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0"/>
      <c r="V521" s="170"/>
      <c r="W521" s="170"/>
      <c r="X521" s="170"/>
      <c r="Y521" s="170"/>
      <c r="Z521" s="170"/>
    </row>
    <row r="522" ht="15.75" customHeight="1">
      <c r="A522" s="170"/>
      <c r="B522" s="170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0"/>
      <c r="V522" s="170"/>
      <c r="W522" s="170"/>
      <c r="X522" s="170"/>
      <c r="Y522" s="170"/>
      <c r="Z522" s="170"/>
    </row>
    <row r="523" ht="15.75" customHeight="1">
      <c r="A523" s="170"/>
      <c r="B523" s="170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0"/>
      <c r="V523" s="170"/>
      <c r="W523" s="170"/>
      <c r="X523" s="170"/>
      <c r="Y523" s="170"/>
      <c r="Z523" s="170"/>
    </row>
    <row r="524" ht="15.75" customHeight="1">
      <c r="A524" s="170"/>
      <c r="B524" s="170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</row>
    <row r="525" ht="15.75" customHeight="1">
      <c r="A525" s="170"/>
      <c r="B525" s="170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</row>
    <row r="526" ht="15.75" customHeight="1">
      <c r="A526" s="170"/>
      <c r="B526" s="170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</row>
    <row r="527" ht="15.75" customHeight="1">
      <c r="A527" s="170"/>
      <c r="B527" s="170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0"/>
      <c r="V527" s="170"/>
      <c r="W527" s="170"/>
      <c r="X527" s="170"/>
      <c r="Y527" s="170"/>
      <c r="Z527" s="170"/>
    </row>
    <row r="528" ht="15.75" customHeight="1">
      <c r="A528" s="170"/>
      <c r="B528" s="170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0"/>
      <c r="V528" s="170"/>
      <c r="W528" s="170"/>
      <c r="X528" s="170"/>
      <c r="Y528" s="170"/>
      <c r="Z528" s="170"/>
    </row>
    <row r="529" ht="15.75" customHeight="1">
      <c r="A529" s="170"/>
      <c r="B529" s="170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0"/>
      <c r="V529" s="170"/>
      <c r="W529" s="170"/>
      <c r="X529" s="170"/>
      <c r="Y529" s="170"/>
      <c r="Z529" s="170"/>
    </row>
    <row r="530" ht="15.75" customHeight="1">
      <c r="A530" s="170"/>
      <c r="B530" s="170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0"/>
      <c r="V530" s="170"/>
      <c r="W530" s="170"/>
      <c r="X530" s="170"/>
      <c r="Y530" s="170"/>
      <c r="Z530" s="170"/>
    </row>
    <row r="531" ht="15.75" customHeight="1">
      <c r="A531" s="170"/>
      <c r="B531" s="170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</row>
    <row r="532" ht="15.75" customHeight="1">
      <c r="A532" s="170"/>
      <c r="B532" s="170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0"/>
      <c r="V532" s="170"/>
      <c r="W532" s="170"/>
      <c r="X532" s="170"/>
      <c r="Y532" s="170"/>
      <c r="Z532" s="170"/>
    </row>
    <row r="533" ht="15.75" customHeight="1">
      <c r="A533" s="170"/>
      <c r="B533" s="170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0"/>
      <c r="V533" s="170"/>
      <c r="W533" s="170"/>
      <c r="X533" s="170"/>
      <c r="Y533" s="170"/>
      <c r="Z533" s="170"/>
    </row>
    <row r="534" ht="15.75" customHeight="1">
      <c r="A534" s="170"/>
      <c r="B534" s="170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0"/>
      <c r="V534" s="170"/>
      <c r="W534" s="170"/>
      <c r="X534" s="170"/>
      <c r="Y534" s="170"/>
      <c r="Z534" s="170"/>
    </row>
    <row r="535" ht="15.75" customHeight="1">
      <c r="A535" s="170"/>
      <c r="B535" s="170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0"/>
      <c r="V535" s="170"/>
      <c r="W535" s="170"/>
      <c r="X535" s="170"/>
      <c r="Y535" s="170"/>
      <c r="Z535" s="170"/>
    </row>
    <row r="536" ht="15.75" customHeight="1">
      <c r="A536" s="170"/>
      <c r="B536" s="170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0"/>
      <c r="V536" s="170"/>
      <c r="W536" s="170"/>
      <c r="X536" s="170"/>
      <c r="Y536" s="170"/>
      <c r="Z536" s="170"/>
    </row>
    <row r="537" ht="15.75" customHeight="1">
      <c r="A537" s="170"/>
      <c r="B537" s="170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</row>
    <row r="538" ht="15.75" customHeight="1">
      <c r="A538" s="170"/>
      <c r="B538" s="170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0"/>
      <c r="Z538" s="170"/>
    </row>
    <row r="539" ht="15.75" customHeight="1">
      <c r="A539" s="170"/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0"/>
      <c r="V539" s="170"/>
      <c r="W539" s="170"/>
      <c r="X539" s="170"/>
      <c r="Y539" s="170"/>
      <c r="Z539" s="170"/>
    </row>
    <row r="540" ht="15.75" customHeight="1">
      <c r="A540" s="170"/>
      <c r="B540" s="170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0"/>
      <c r="V540" s="170"/>
      <c r="W540" s="170"/>
      <c r="X540" s="170"/>
      <c r="Y540" s="170"/>
      <c r="Z540" s="170"/>
    </row>
    <row r="541" ht="15.75" customHeight="1">
      <c r="A541" s="170"/>
      <c r="B541" s="170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</row>
    <row r="542" ht="15.75" customHeight="1">
      <c r="A542" s="170"/>
      <c r="B542" s="170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0"/>
      <c r="V542" s="170"/>
      <c r="W542" s="170"/>
      <c r="X542" s="170"/>
      <c r="Y542" s="170"/>
      <c r="Z542" s="170"/>
    </row>
    <row r="543" ht="15.75" customHeight="1">
      <c r="A543" s="170"/>
      <c r="B543" s="170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0"/>
      <c r="V543" s="170"/>
      <c r="W543" s="170"/>
      <c r="X543" s="170"/>
      <c r="Y543" s="170"/>
      <c r="Z543" s="170"/>
    </row>
    <row r="544" ht="15.75" customHeight="1">
      <c r="A544" s="170"/>
      <c r="B544" s="170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0"/>
      <c r="V544" s="170"/>
      <c r="W544" s="170"/>
      <c r="X544" s="170"/>
      <c r="Y544" s="170"/>
      <c r="Z544" s="170"/>
    </row>
    <row r="545" ht="15.75" customHeight="1">
      <c r="A545" s="170"/>
      <c r="B545" s="170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0"/>
      <c r="V545" s="170"/>
      <c r="W545" s="170"/>
      <c r="X545" s="170"/>
      <c r="Y545" s="170"/>
      <c r="Z545" s="170"/>
    </row>
    <row r="546" ht="15.75" customHeight="1">
      <c r="A546" s="170"/>
      <c r="B546" s="170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0"/>
      <c r="V546" s="170"/>
      <c r="W546" s="170"/>
      <c r="X546" s="170"/>
      <c r="Y546" s="170"/>
      <c r="Z546" s="170"/>
    </row>
    <row r="547" ht="15.75" customHeight="1">
      <c r="A547" s="170"/>
      <c r="B547" s="170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0"/>
      <c r="V547" s="170"/>
      <c r="W547" s="170"/>
      <c r="X547" s="170"/>
      <c r="Y547" s="170"/>
      <c r="Z547" s="170"/>
    </row>
    <row r="548" ht="15.75" customHeight="1">
      <c r="A548" s="170"/>
      <c r="B548" s="170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0"/>
      <c r="V548" s="170"/>
      <c r="W548" s="170"/>
      <c r="X548" s="170"/>
      <c r="Y548" s="170"/>
      <c r="Z548" s="170"/>
    </row>
    <row r="549" ht="15.75" customHeight="1">
      <c r="A549" s="170"/>
      <c r="B549" s="170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0"/>
      <c r="V549" s="170"/>
      <c r="W549" s="170"/>
      <c r="X549" s="170"/>
      <c r="Y549" s="170"/>
      <c r="Z549" s="170"/>
    </row>
    <row r="550" ht="15.75" customHeight="1">
      <c r="A550" s="170"/>
      <c r="B550" s="170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0"/>
      <c r="V550" s="170"/>
      <c r="W550" s="170"/>
      <c r="X550" s="170"/>
      <c r="Y550" s="170"/>
      <c r="Z550" s="170"/>
    </row>
    <row r="551" ht="15.75" customHeight="1">
      <c r="A551" s="170"/>
      <c r="B551" s="170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0"/>
      <c r="V551" s="170"/>
      <c r="W551" s="170"/>
      <c r="X551" s="170"/>
      <c r="Y551" s="170"/>
      <c r="Z551" s="170"/>
    </row>
    <row r="552" ht="15.75" customHeight="1">
      <c r="A552" s="170"/>
      <c r="B552" s="170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0"/>
      <c r="V552" s="170"/>
      <c r="W552" s="170"/>
      <c r="X552" s="170"/>
      <c r="Y552" s="170"/>
      <c r="Z552" s="170"/>
    </row>
    <row r="553" ht="15.75" customHeight="1">
      <c r="A553" s="170"/>
      <c r="B553" s="170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0"/>
      <c r="V553" s="170"/>
      <c r="W553" s="170"/>
      <c r="X553" s="170"/>
      <c r="Y553" s="170"/>
      <c r="Z553" s="170"/>
    </row>
    <row r="554" ht="15.75" customHeight="1">
      <c r="A554" s="170"/>
      <c r="B554" s="170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0"/>
      <c r="V554" s="170"/>
      <c r="W554" s="170"/>
      <c r="X554" s="170"/>
      <c r="Y554" s="170"/>
      <c r="Z554" s="170"/>
    </row>
    <row r="555" ht="15.75" customHeight="1">
      <c r="A555" s="170"/>
      <c r="B555" s="170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0"/>
      <c r="V555" s="170"/>
      <c r="W555" s="170"/>
      <c r="X555" s="170"/>
      <c r="Y555" s="170"/>
      <c r="Z555" s="170"/>
    </row>
    <row r="556" ht="15.75" customHeight="1">
      <c r="A556" s="170"/>
      <c r="B556" s="170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0"/>
      <c r="V556" s="170"/>
      <c r="W556" s="170"/>
      <c r="X556" s="170"/>
      <c r="Y556" s="170"/>
      <c r="Z556" s="170"/>
    </row>
    <row r="557" ht="15.75" customHeight="1">
      <c r="A557" s="170"/>
      <c r="B557" s="170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0"/>
      <c r="V557" s="170"/>
      <c r="W557" s="170"/>
      <c r="X557" s="170"/>
      <c r="Y557" s="170"/>
      <c r="Z557" s="170"/>
    </row>
    <row r="558" ht="15.75" customHeight="1">
      <c r="A558" s="170"/>
      <c r="B558" s="170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0"/>
      <c r="V558" s="170"/>
      <c r="W558" s="170"/>
      <c r="X558" s="170"/>
      <c r="Y558" s="170"/>
      <c r="Z558" s="170"/>
    </row>
    <row r="559" ht="15.75" customHeight="1">
      <c r="A559" s="170"/>
      <c r="B559" s="170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0"/>
      <c r="V559" s="170"/>
      <c r="W559" s="170"/>
      <c r="X559" s="170"/>
      <c r="Y559" s="170"/>
      <c r="Z559" s="170"/>
    </row>
    <row r="560" ht="15.75" customHeight="1">
      <c r="A560" s="170"/>
      <c r="B560" s="170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0"/>
      <c r="V560" s="170"/>
      <c r="W560" s="170"/>
      <c r="X560" s="170"/>
      <c r="Y560" s="170"/>
      <c r="Z560" s="170"/>
    </row>
    <row r="561" ht="15.75" customHeight="1">
      <c r="A561" s="170"/>
      <c r="B561" s="170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0"/>
      <c r="V561" s="170"/>
      <c r="W561" s="170"/>
      <c r="X561" s="170"/>
      <c r="Y561" s="170"/>
      <c r="Z561" s="170"/>
    </row>
    <row r="562" ht="15.75" customHeight="1">
      <c r="A562" s="170"/>
      <c r="B562" s="170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0"/>
      <c r="V562" s="170"/>
      <c r="W562" s="170"/>
      <c r="X562" s="170"/>
      <c r="Y562" s="170"/>
      <c r="Z562" s="170"/>
    </row>
    <row r="563" ht="15.75" customHeight="1">
      <c r="A563" s="170"/>
      <c r="B563" s="170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0"/>
      <c r="V563" s="170"/>
      <c r="W563" s="170"/>
      <c r="X563" s="170"/>
      <c r="Y563" s="170"/>
      <c r="Z563" s="170"/>
    </row>
    <row r="564" ht="15.75" customHeight="1">
      <c r="A564" s="170"/>
      <c r="B564" s="170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0"/>
      <c r="V564" s="170"/>
      <c r="W564" s="170"/>
      <c r="X564" s="170"/>
      <c r="Y564" s="170"/>
      <c r="Z564" s="170"/>
    </row>
    <row r="565" ht="15.75" customHeight="1">
      <c r="A565" s="170"/>
      <c r="B565" s="170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0"/>
      <c r="V565" s="170"/>
      <c r="W565" s="170"/>
      <c r="X565" s="170"/>
      <c r="Y565" s="170"/>
      <c r="Z565" s="170"/>
    </row>
    <row r="566" ht="15.75" customHeight="1">
      <c r="A566" s="170"/>
      <c r="B566" s="170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0"/>
      <c r="V566" s="170"/>
      <c r="W566" s="170"/>
      <c r="X566" s="170"/>
      <c r="Y566" s="170"/>
      <c r="Z566" s="170"/>
    </row>
    <row r="567" ht="15.75" customHeight="1">
      <c r="A567" s="170"/>
      <c r="B567" s="170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0"/>
      <c r="V567" s="170"/>
      <c r="W567" s="170"/>
      <c r="X567" s="170"/>
      <c r="Y567" s="170"/>
      <c r="Z567" s="170"/>
    </row>
    <row r="568" ht="15.75" customHeight="1">
      <c r="A568" s="170"/>
      <c r="B568" s="170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0"/>
      <c r="V568" s="170"/>
      <c r="W568" s="170"/>
      <c r="X568" s="170"/>
      <c r="Y568" s="170"/>
      <c r="Z568" s="170"/>
    </row>
    <row r="569" ht="15.75" customHeight="1">
      <c r="A569" s="170"/>
      <c r="B569" s="170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0"/>
      <c r="V569" s="170"/>
      <c r="W569" s="170"/>
      <c r="X569" s="170"/>
      <c r="Y569" s="170"/>
      <c r="Z569" s="170"/>
    </row>
    <row r="570" ht="15.75" customHeight="1">
      <c r="A570" s="170"/>
      <c r="B570" s="170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0"/>
      <c r="V570" s="170"/>
      <c r="W570" s="170"/>
      <c r="X570" s="170"/>
      <c r="Y570" s="170"/>
      <c r="Z570" s="170"/>
    </row>
    <row r="571" ht="15.75" customHeight="1">
      <c r="A571" s="170"/>
      <c r="B571" s="170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0"/>
      <c r="V571" s="170"/>
      <c r="W571" s="170"/>
      <c r="X571" s="170"/>
      <c r="Y571" s="170"/>
      <c r="Z571" s="170"/>
    </row>
    <row r="572" ht="15.75" customHeight="1">
      <c r="A572" s="170"/>
      <c r="B572" s="170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0"/>
      <c r="V572" s="170"/>
      <c r="W572" s="170"/>
      <c r="X572" s="170"/>
      <c r="Y572" s="170"/>
      <c r="Z572" s="170"/>
    </row>
    <row r="573" ht="15.75" customHeight="1">
      <c r="A573" s="170"/>
      <c r="B573" s="170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0"/>
      <c r="V573" s="170"/>
      <c r="W573" s="170"/>
      <c r="X573" s="170"/>
      <c r="Y573" s="170"/>
      <c r="Z573" s="170"/>
    </row>
    <row r="574" ht="15.75" customHeight="1">
      <c r="A574" s="170"/>
      <c r="B574" s="170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</row>
    <row r="575" ht="15.75" customHeight="1">
      <c r="A575" s="170"/>
      <c r="B575" s="170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0"/>
      <c r="V575" s="170"/>
      <c r="W575" s="170"/>
      <c r="X575" s="170"/>
      <c r="Y575" s="170"/>
      <c r="Z575" s="170"/>
    </row>
    <row r="576" ht="15.75" customHeight="1">
      <c r="A576" s="170"/>
      <c r="B576" s="170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0"/>
      <c r="V576" s="170"/>
      <c r="W576" s="170"/>
      <c r="X576" s="170"/>
      <c r="Y576" s="170"/>
      <c r="Z576" s="170"/>
    </row>
    <row r="577" ht="15.75" customHeight="1">
      <c r="A577" s="170"/>
      <c r="B577" s="170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0"/>
      <c r="V577" s="170"/>
      <c r="W577" s="170"/>
      <c r="X577" s="170"/>
      <c r="Y577" s="170"/>
      <c r="Z577" s="170"/>
    </row>
    <row r="578" ht="15.75" customHeight="1">
      <c r="A578" s="170"/>
      <c r="B578" s="170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0"/>
      <c r="V578" s="170"/>
      <c r="W578" s="170"/>
      <c r="X578" s="170"/>
      <c r="Y578" s="170"/>
      <c r="Z578" s="170"/>
    </row>
    <row r="579" ht="15.75" customHeight="1">
      <c r="A579" s="170"/>
      <c r="B579" s="170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0"/>
      <c r="V579" s="170"/>
      <c r="W579" s="170"/>
      <c r="X579" s="170"/>
      <c r="Y579" s="170"/>
      <c r="Z579" s="170"/>
    </row>
    <row r="580" ht="15.75" customHeight="1">
      <c r="A580" s="170"/>
      <c r="B580" s="170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0"/>
      <c r="V580" s="170"/>
      <c r="W580" s="170"/>
      <c r="X580" s="170"/>
      <c r="Y580" s="170"/>
      <c r="Z580" s="170"/>
    </row>
    <row r="581" ht="15.75" customHeight="1">
      <c r="A581" s="170"/>
      <c r="B581" s="170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0"/>
      <c r="V581" s="170"/>
      <c r="W581" s="170"/>
      <c r="X581" s="170"/>
      <c r="Y581" s="170"/>
      <c r="Z581" s="170"/>
    </row>
    <row r="582" ht="15.75" customHeight="1">
      <c r="A582" s="170"/>
      <c r="B582" s="170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0"/>
      <c r="V582" s="170"/>
      <c r="W582" s="170"/>
      <c r="X582" s="170"/>
      <c r="Y582" s="170"/>
      <c r="Z582" s="170"/>
    </row>
    <row r="583" ht="15.75" customHeight="1">
      <c r="A583" s="170"/>
      <c r="B583" s="170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0"/>
      <c r="V583" s="170"/>
      <c r="W583" s="170"/>
      <c r="X583" s="170"/>
      <c r="Y583" s="170"/>
      <c r="Z583" s="170"/>
    </row>
    <row r="584" ht="15.75" customHeight="1">
      <c r="A584" s="170"/>
      <c r="B584" s="170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0"/>
      <c r="V584" s="170"/>
      <c r="W584" s="170"/>
      <c r="X584" s="170"/>
      <c r="Y584" s="170"/>
      <c r="Z584" s="170"/>
    </row>
    <row r="585" ht="15.75" customHeight="1">
      <c r="A585" s="170"/>
      <c r="B585" s="170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0"/>
      <c r="V585" s="170"/>
      <c r="W585" s="170"/>
      <c r="X585" s="170"/>
      <c r="Y585" s="170"/>
      <c r="Z585" s="170"/>
    </row>
    <row r="586" ht="15.75" customHeight="1">
      <c r="A586" s="170"/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</row>
    <row r="587" ht="15.75" customHeight="1">
      <c r="A587" s="170"/>
      <c r="B587" s="170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0"/>
      <c r="V587" s="170"/>
      <c r="W587" s="170"/>
      <c r="X587" s="170"/>
      <c r="Y587" s="170"/>
      <c r="Z587" s="170"/>
    </row>
    <row r="588" ht="15.75" customHeight="1">
      <c r="A588" s="170"/>
      <c r="B588" s="170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0"/>
      <c r="V588" s="170"/>
      <c r="W588" s="170"/>
      <c r="X588" s="170"/>
      <c r="Y588" s="170"/>
      <c r="Z588" s="170"/>
    </row>
    <row r="589" ht="15.75" customHeight="1">
      <c r="A589" s="170"/>
      <c r="B589" s="170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0"/>
      <c r="V589" s="170"/>
      <c r="W589" s="170"/>
      <c r="X589" s="170"/>
      <c r="Y589" s="170"/>
      <c r="Z589" s="170"/>
    </row>
    <row r="590" ht="15.75" customHeight="1">
      <c r="A590" s="170"/>
      <c r="B590" s="170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0"/>
      <c r="V590" s="170"/>
      <c r="W590" s="170"/>
      <c r="X590" s="170"/>
      <c r="Y590" s="170"/>
      <c r="Z590" s="170"/>
    </row>
    <row r="591" ht="15.75" customHeight="1">
      <c r="A591" s="170"/>
      <c r="B591" s="170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0"/>
      <c r="V591" s="170"/>
      <c r="W591" s="170"/>
      <c r="X591" s="170"/>
      <c r="Y591" s="170"/>
      <c r="Z591" s="170"/>
    </row>
    <row r="592" ht="15.75" customHeight="1">
      <c r="A592" s="170"/>
      <c r="B592" s="170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0"/>
      <c r="V592" s="170"/>
      <c r="W592" s="170"/>
      <c r="X592" s="170"/>
      <c r="Y592" s="170"/>
      <c r="Z592" s="170"/>
    </row>
    <row r="593" ht="15.75" customHeight="1">
      <c r="A593" s="170"/>
      <c r="B593" s="170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0"/>
      <c r="V593" s="170"/>
      <c r="W593" s="170"/>
      <c r="X593" s="170"/>
      <c r="Y593" s="170"/>
      <c r="Z593" s="170"/>
    </row>
    <row r="594" ht="15.75" customHeight="1">
      <c r="A594" s="170"/>
      <c r="B594" s="170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0"/>
      <c r="V594" s="170"/>
      <c r="W594" s="170"/>
      <c r="X594" s="170"/>
      <c r="Y594" s="170"/>
      <c r="Z594" s="170"/>
    </row>
    <row r="595" ht="15.75" customHeight="1">
      <c r="A595" s="170"/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0"/>
      <c r="V595" s="170"/>
      <c r="W595" s="170"/>
      <c r="X595" s="170"/>
      <c r="Y595" s="170"/>
      <c r="Z595" s="170"/>
    </row>
    <row r="596" ht="15.75" customHeight="1">
      <c r="A596" s="170"/>
      <c r="B596" s="170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</row>
    <row r="597" ht="15.75" customHeight="1">
      <c r="A597" s="170"/>
      <c r="B597" s="170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0"/>
      <c r="V597" s="170"/>
      <c r="W597" s="170"/>
      <c r="X597" s="170"/>
      <c r="Y597" s="170"/>
      <c r="Z597" s="170"/>
    </row>
    <row r="598" ht="15.75" customHeight="1">
      <c r="A598" s="170"/>
      <c r="B598" s="170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0"/>
      <c r="V598" s="170"/>
      <c r="W598" s="170"/>
      <c r="X598" s="170"/>
      <c r="Y598" s="170"/>
      <c r="Z598" s="170"/>
    </row>
    <row r="599" ht="15.75" customHeight="1">
      <c r="A599" s="170"/>
      <c r="B599" s="170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0"/>
      <c r="V599" s="170"/>
      <c r="W599" s="170"/>
      <c r="X599" s="170"/>
      <c r="Y599" s="170"/>
      <c r="Z599" s="170"/>
    </row>
    <row r="600" ht="15.75" customHeight="1">
      <c r="A600" s="170"/>
      <c r="B600" s="170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0"/>
      <c r="V600" s="170"/>
      <c r="W600" s="170"/>
      <c r="X600" s="170"/>
      <c r="Y600" s="170"/>
      <c r="Z600" s="170"/>
    </row>
    <row r="601" ht="15.75" customHeight="1">
      <c r="A601" s="170"/>
      <c r="B601" s="170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</row>
    <row r="602" ht="15.75" customHeight="1">
      <c r="A602" s="170"/>
      <c r="B602" s="170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0"/>
      <c r="V602" s="170"/>
      <c r="W602" s="170"/>
      <c r="X602" s="170"/>
      <c r="Y602" s="170"/>
      <c r="Z602" s="170"/>
    </row>
    <row r="603" ht="15.75" customHeight="1">
      <c r="A603" s="170"/>
      <c r="B603" s="170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0"/>
      <c r="V603" s="170"/>
      <c r="W603" s="170"/>
      <c r="X603" s="170"/>
      <c r="Y603" s="170"/>
      <c r="Z603" s="170"/>
    </row>
    <row r="604" ht="15.75" customHeight="1">
      <c r="A604" s="170"/>
      <c r="B604" s="170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0"/>
      <c r="V604" s="170"/>
      <c r="W604" s="170"/>
      <c r="X604" s="170"/>
      <c r="Y604" s="170"/>
      <c r="Z604" s="170"/>
    </row>
    <row r="605" ht="15.75" customHeight="1">
      <c r="A605" s="170"/>
      <c r="B605" s="170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0"/>
      <c r="V605" s="170"/>
      <c r="W605" s="170"/>
      <c r="X605" s="170"/>
      <c r="Y605" s="170"/>
      <c r="Z605" s="170"/>
    </row>
    <row r="606" ht="15.75" customHeight="1">
      <c r="A606" s="170"/>
      <c r="B606" s="170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0"/>
      <c r="V606" s="170"/>
      <c r="W606" s="170"/>
      <c r="X606" s="170"/>
      <c r="Y606" s="170"/>
      <c r="Z606" s="170"/>
    </row>
    <row r="607" ht="15.75" customHeight="1">
      <c r="A607" s="170"/>
      <c r="B607" s="170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0"/>
      <c r="V607" s="170"/>
      <c r="W607" s="170"/>
      <c r="X607" s="170"/>
      <c r="Y607" s="170"/>
      <c r="Z607" s="170"/>
    </row>
    <row r="608" ht="15.75" customHeight="1">
      <c r="A608" s="170"/>
      <c r="B608" s="170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0"/>
      <c r="V608" s="170"/>
      <c r="W608" s="170"/>
      <c r="X608" s="170"/>
      <c r="Y608" s="170"/>
      <c r="Z608" s="170"/>
    </row>
    <row r="609" ht="15.75" customHeight="1">
      <c r="A609" s="170"/>
      <c r="B609" s="170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0"/>
      <c r="V609" s="170"/>
      <c r="W609" s="170"/>
      <c r="X609" s="170"/>
      <c r="Y609" s="170"/>
      <c r="Z609" s="170"/>
    </row>
    <row r="610" ht="15.75" customHeight="1">
      <c r="A610" s="170"/>
      <c r="B610" s="170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0"/>
      <c r="V610" s="170"/>
      <c r="W610" s="170"/>
      <c r="X610" s="170"/>
      <c r="Y610" s="170"/>
      <c r="Z610" s="170"/>
    </row>
    <row r="611" ht="15.75" customHeight="1">
      <c r="A611" s="170"/>
      <c r="B611" s="170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0"/>
      <c r="V611" s="170"/>
      <c r="W611" s="170"/>
      <c r="X611" s="170"/>
      <c r="Y611" s="170"/>
      <c r="Z611" s="170"/>
    </row>
    <row r="612" ht="15.75" customHeight="1">
      <c r="A612" s="170"/>
      <c r="B612" s="170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0"/>
      <c r="V612" s="170"/>
      <c r="W612" s="170"/>
      <c r="X612" s="170"/>
      <c r="Y612" s="170"/>
      <c r="Z612" s="170"/>
    </row>
    <row r="613" ht="15.75" customHeight="1">
      <c r="A613" s="170"/>
      <c r="B613" s="170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0"/>
      <c r="V613" s="170"/>
      <c r="W613" s="170"/>
      <c r="X613" s="170"/>
      <c r="Y613" s="170"/>
      <c r="Z613" s="170"/>
    </row>
    <row r="614" ht="15.75" customHeight="1">
      <c r="A614" s="170"/>
      <c r="B614" s="170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0"/>
      <c r="V614" s="170"/>
      <c r="W614" s="170"/>
      <c r="X614" s="170"/>
      <c r="Y614" s="170"/>
      <c r="Z614" s="170"/>
    </row>
    <row r="615" ht="15.75" customHeight="1">
      <c r="A615" s="170"/>
      <c r="B615" s="170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0"/>
      <c r="V615" s="170"/>
      <c r="W615" s="170"/>
      <c r="X615" s="170"/>
      <c r="Y615" s="170"/>
      <c r="Z615" s="170"/>
    </row>
    <row r="616" ht="15.75" customHeight="1">
      <c r="A616" s="170"/>
      <c r="B616" s="170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0"/>
      <c r="V616" s="170"/>
      <c r="W616" s="170"/>
      <c r="X616" s="170"/>
      <c r="Y616" s="170"/>
      <c r="Z616" s="170"/>
    </row>
    <row r="617" ht="15.75" customHeight="1">
      <c r="A617" s="170"/>
      <c r="B617" s="170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0"/>
      <c r="V617" s="170"/>
      <c r="W617" s="170"/>
      <c r="X617" s="170"/>
      <c r="Y617" s="170"/>
      <c r="Z617" s="170"/>
    </row>
    <row r="618" ht="15.75" customHeight="1">
      <c r="A618" s="170"/>
      <c r="B618" s="170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</row>
    <row r="619" ht="15.75" customHeight="1">
      <c r="A619" s="170"/>
      <c r="B619" s="170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0"/>
      <c r="V619" s="170"/>
      <c r="W619" s="170"/>
      <c r="X619" s="170"/>
      <c r="Y619" s="170"/>
      <c r="Z619" s="170"/>
    </row>
    <row r="620" ht="15.75" customHeight="1">
      <c r="A620" s="170"/>
      <c r="B620" s="170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0"/>
      <c r="V620" s="170"/>
      <c r="W620" s="170"/>
      <c r="X620" s="170"/>
      <c r="Y620" s="170"/>
      <c r="Z620" s="170"/>
    </row>
    <row r="621" ht="15.75" customHeight="1">
      <c r="A621" s="170"/>
      <c r="B621" s="170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0"/>
      <c r="V621" s="170"/>
      <c r="W621" s="170"/>
      <c r="X621" s="170"/>
      <c r="Y621" s="170"/>
      <c r="Z621" s="170"/>
    </row>
    <row r="622" ht="15.75" customHeight="1">
      <c r="A622" s="170"/>
      <c r="B622" s="170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0"/>
      <c r="V622" s="170"/>
      <c r="W622" s="170"/>
      <c r="X622" s="170"/>
      <c r="Y622" s="170"/>
      <c r="Z622" s="170"/>
    </row>
    <row r="623" ht="15.75" customHeight="1">
      <c r="A623" s="170"/>
      <c r="B623" s="170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0"/>
      <c r="V623" s="170"/>
      <c r="W623" s="170"/>
      <c r="X623" s="170"/>
      <c r="Y623" s="170"/>
      <c r="Z623" s="170"/>
    </row>
    <row r="624" ht="15.75" customHeight="1">
      <c r="A624" s="170"/>
      <c r="B624" s="170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0"/>
      <c r="V624" s="170"/>
      <c r="W624" s="170"/>
      <c r="X624" s="170"/>
      <c r="Y624" s="170"/>
      <c r="Z624" s="170"/>
    </row>
    <row r="625" ht="15.75" customHeight="1">
      <c r="A625" s="170"/>
      <c r="B625" s="170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0"/>
      <c r="V625" s="170"/>
      <c r="W625" s="170"/>
      <c r="X625" s="170"/>
      <c r="Y625" s="170"/>
      <c r="Z625" s="170"/>
    </row>
    <row r="626" ht="15.75" customHeight="1">
      <c r="A626" s="170"/>
      <c r="B626" s="170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0"/>
      <c r="V626" s="170"/>
      <c r="W626" s="170"/>
      <c r="X626" s="170"/>
      <c r="Y626" s="170"/>
      <c r="Z626" s="170"/>
    </row>
    <row r="627" ht="15.75" customHeight="1">
      <c r="A627" s="170"/>
      <c r="B627" s="170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0"/>
      <c r="V627" s="170"/>
      <c r="W627" s="170"/>
      <c r="X627" s="170"/>
      <c r="Y627" s="170"/>
      <c r="Z627" s="170"/>
    </row>
    <row r="628" ht="15.75" customHeight="1">
      <c r="A628" s="170"/>
      <c r="B628" s="170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0"/>
      <c r="V628" s="170"/>
      <c r="W628" s="170"/>
      <c r="X628" s="170"/>
      <c r="Y628" s="170"/>
      <c r="Z628" s="170"/>
    </row>
    <row r="629" ht="15.75" customHeight="1">
      <c r="A629" s="170"/>
      <c r="B629" s="170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0"/>
      <c r="V629" s="170"/>
      <c r="W629" s="170"/>
      <c r="X629" s="170"/>
      <c r="Y629" s="170"/>
      <c r="Z629" s="170"/>
    </row>
    <row r="630" ht="15.75" customHeight="1">
      <c r="A630" s="170"/>
      <c r="B630" s="170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0"/>
      <c r="V630" s="170"/>
      <c r="W630" s="170"/>
      <c r="X630" s="170"/>
      <c r="Y630" s="170"/>
      <c r="Z630" s="170"/>
    </row>
    <row r="631" ht="15.75" customHeight="1">
      <c r="A631" s="170"/>
      <c r="B631" s="170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0"/>
      <c r="V631" s="170"/>
      <c r="W631" s="170"/>
      <c r="X631" s="170"/>
      <c r="Y631" s="170"/>
      <c r="Z631" s="170"/>
    </row>
    <row r="632" ht="15.75" customHeight="1">
      <c r="A632" s="170"/>
      <c r="B632" s="170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0"/>
      <c r="V632" s="170"/>
      <c r="W632" s="170"/>
      <c r="X632" s="170"/>
      <c r="Y632" s="170"/>
      <c r="Z632" s="170"/>
    </row>
    <row r="633" ht="15.75" customHeight="1">
      <c r="A633" s="170"/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  <c r="Z633" s="170"/>
    </row>
    <row r="634" ht="15.75" customHeight="1">
      <c r="A634" s="170"/>
      <c r="B634" s="170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0"/>
      <c r="V634" s="170"/>
      <c r="W634" s="170"/>
      <c r="X634" s="170"/>
      <c r="Y634" s="170"/>
      <c r="Z634" s="170"/>
    </row>
    <row r="635" ht="15.75" customHeight="1">
      <c r="A635" s="170"/>
      <c r="B635" s="170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0"/>
      <c r="V635" s="170"/>
      <c r="W635" s="170"/>
      <c r="X635" s="170"/>
      <c r="Y635" s="170"/>
      <c r="Z635" s="170"/>
    </row>
    <row r="636" ht="15.75" customHeight="1">
      <c r="A636" s="170"/>
      <c r="B636" s="170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0"/>
      <c r="V636" s="170"/>
      <c r="W636" s="170"/>
      <c r="X636" s="170"/>
      <c r="Y636" s="170"/>
      <c r="Z636" s="170"/>
    </row>
    <row r="637" ht="15.75" customHeight="1">
      <c r="A637" s="170"/>
      <c r="B637" s="170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0"/>
      <c r="V637" s="170"/>
      <c r="W637" s="170"/>
      <c r="X637" s="170"/>
      <c r="Y637" s="170"/>
      <c r="Z637" s="170"/>
    </row>
    <row r="638" ht="15.75" customHeight="1">
      <c r="A638" s="170"/>
      <c r="B638" s="170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</row>
    <row r="639" ht="15.75" customHeight="1">
      <c r="A639" s="170"/>
      <c r="B639" s="170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0"/>
      <c r="V639" s="170"/>
      <c r="W639" s="170"/>
      <c r="X639" s="170"/>
      <c r="Y639" s="170"/>
      <c r="Z639" s="170"/>
    </row>
    <row r="640" ht="15.75" customHeight="1">
      <c r="A640" s="170"/>
      <c r="B640" s="170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0"/>
      <c r="V640" s="170"/>
      <c r="W640" s="170"/>
      <c r="X640" s="170"/>
      <c r="Y640" s="170"/>
      <c r="Z640" s="170"/>
    </row>
    <row r="641" ht="15.75" customHeight="1">
      <c r="A641" s="170"/>
      <c r="B641" s="170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0"/>
      <c r="V641" s="170"/>
      <c r="W641" s="170"/>
      <c r="X641" s="170"/>
      <c r="Y641" s="170"/>
      <c r="Z641" s="170"/>
    </row>
    <row r="642" ht="15.75" customHeight="1">
      <c r="A642" s="170"/>
      <c r="B642" s="170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</row>
    <row r="643" ht="15.75" customHeight="1">
      <c r="A643" s="170"/>
      <c r="B643" s="170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0"/>
      <c r="V643" s="170"/>
      <c r="W643" s="170"/>
      <c r="X643" s="170"/>
      <c r="Y643" s="170"/>
      <c r="Z643" s="170"/>
    </row>
    <row r="644" ht="15.75" customHeight="1">
      <c r="A644" s="170"/>
      <c r="B644" s="170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0"/>
      <c r="V644" s="170"/>
      <c r="W644" s="170"/>
      <c r="X644" s="170"/>
      <c r="Y644" s="170"/>
      <c r="Z644" s="170"/>
    </row>
    <row r="645" ht="15.75" customHeight="1">
      <c r="A645" s="170"/>
      <c r="B645" s="170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0"/>
      <c r="V645" s="170"/>
      <c r="W645" s="170"/>
      <c r="X645" s="170"/>
      <c r="Y645" s="170"/>
      <c r="Z645" s="170"/>
    </row>
    <row r="646" ht="15.75" customHeight="1">
      <c r="A646" s="170"/>
      <c r="B646" s="170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0"/>
      <c r="V646" s="170"/>
      <c r="W646" s="170"/>
      <c r="X646" s="170"/>
      <c r="Y646" s="170"/>
      <c r="Z646" s="170"/>
    </row>
    <row r="647" ht="15.75" customHeight="1">
      <c r="A647" s="170"/>
      <c r="B647" s="170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0"/>
      <c r="V647" s="170"/>
      <c r="W647" s="170"/>
      <c r="X647" s="170"/>
      <c r="Y647" s="170"/>
      <c r="Z647" s="170"/>
    </row>
    <row r="648" ht="15.75" customHeight="1">
      <c r="A648" s="170"/>
      <c r="B648" s="170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0"/>
      <c r="V648" s="170"/>
      <c r="W648" s="170"/>
      <c r="X648" s="170"/>
      <c r="Y648" s="170"/>
      <c r="Z648" s="170"/>
    </row>
    <row r="649" ht="15.75" customHeight="1">
      <c r="A649" s="170"/>
      <c r="B649" s="170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0"/>
      <c r="V649" s="170"/>
      <c r="W649" s="170"/>
      <c r="X649" s="170"/>
      <c r="Y649" s="170"/>
      <c r="Z649" s="170"/>
    </row>
    <row r="650" ht="15.75" customHeight="1">
      <c r="A650" s="170"/>
      <c r="B650" s="170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0"/>
      <c r="V650" s="170"/>
      <c r="W650" s="170"/>
      <c r="X650" s="170"/>
      <c r="Y650" s="170"/>
      <c r="Z650" s="170"/>
    </row>
    <row r="651" ht="15.75" customHeight="1">
      <c r="A651" s="170"/>
      <c r="B651" s="170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0"/>
      <c r="V651" s="170"/>
      <c r="W651" s="170"/>
      <c r="X651" s="170"/>
      <c r="Y651" s="170"/>
      <c r="Z651" s="170"/>
    </row>
    <row r="652" ht="15.75" customHeight="1">
      <c r="A652" s="170"/>
      <c r="B652" s="170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0"/>
      <c r="V652" s="170"/>
      <c r="W652" s="170"/>
      <c r="X652" s="170"/>
      <c r="Y652" s="170"/>
      <c r="Z652" s="170"/>
    </row>
    <row r="653" ht="15.75" customHeight="1">
      <c r="A653" s="170"/>
      <c r="B653" s="170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0"/>
      <c r="V653" s="170"/>
      <c r="W653" s="170"/>
      <c r="X653" s="170"/>
      <c r="Y653" s="170"/>
      <c r="Z653" s="170"/>
    </row>
    <row r="654" ht="15.75" customHeight="1">
      <c r="A654" s="170"/>
      <c r="B654" s="170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0"/>
      <c r="V654" s="170"/>
      <c r="W654" s="170"/>
      <c r="X654" s="170"/>
      <c r="Y654" s="170"/>
      <c r="Z654" s="170"/>
    </row>
    <row r="655" ht="15.75" customHeight="1">
      <c r="A655" s="170"/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</row>
    <row r="656" ht="15.75" customHeight="1">
      <c r="A656" s="170"/>
      <c r="B656" s="170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0"/>
      <c r="V656" s="170"/>
      <c r="W656" s="170"/>
      <c r="X656" s="170"/>
      <c r="Y656" s="170"/>
      <c r="Z656" s="170"/>
    </row>
    <row r="657" ht="15.75" customHeight="1">
      <c r="A657" s="170"/>
      <c r="B657" s="170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0"/>
      <c r="V657" s="170"/>
      <c r="W657" s="170"/>
      <c r="X657" s="170"/>
      <c r="Y657" s="170"/>
      <c r="Z657" s="170"/>
    </row>
    <row r="658" ht="15.75" customHeight="1">
      <c r="A658" s="170"/>
      <c r="B658" s="170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0"/>
      <c r="V658" s="170"/>
      <c r="W658" s="170"/>
      <c r="X658" s="170"/>
      <c r="Y658" s="170"/>
      <c r="Z658" s="170"/>
    </row>
    <row r="659" ht="15.75" customHeight="1">
      <c r="A659" s="170"/>
      <c r="B659" s="170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0"/>
      <c r="V659" s="170"/>
      <c r="W659" s="170"/>
      <c r="X659" s="170"/>
      <c r="Y659" s="170"/>
      <c r="Z659" s="170"/>
    </row>
    <row r="660" ht="15.75" customHeight="1">
      <c r="A660" s="170"/>
      <c r="B660" s="170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0"/>
      <c r="V660" s="170"/>
      <c r="W660" s="170"/>
      <c r="X660" s="170"/>
      <c r="Y660" s="170"/>
      <c r="Z660" s="170"/>
    </row>
    <row r="661" ht="15.75" customHeight="1">
      <c r="A661" s="170"/>
      <c r="B661" s="170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0"/>
      <c r="V661" s="170"/>
      <c r="W661" s="170"/>
      <c r="X661" s="170"/>
      <c r="Y661" s="170"/>
      <c r="Z661" s="170"/>
    </row>
    <row r="662" ht="15.75" customHeight="1">
      <c r="A662" s="170"/>
      <c r="B662" s="170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0"/>
      <c r="V662" s="170"/>
      <c r="W662" s="170"/>
      <c r="X662" s="170"/>
      <c r="Y662" s="170"/>
      <c r="Z662" s="170"/>
    </row>
    <row r="663" ht="15.75" customHeight="1">
      <c r="A663" s="170"/>
      <c r="B663" s="170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0"/>
      <c r="V663" s="170"/>
      <c r="W663" s="170"/>
      <c r="X663" s="170"/>
      <c r="Y663" s="170"/>
      <c r="Z663" s="170"/>
    </row>
    <row r="664" ht="15.75" customHeight="1">
      <c r="A664" s="170"/>
      <c r="B664" s="170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0"/>
      <c r="V664" s="170"/>
      <c r="W664" s="170"/>
      <c r="X664" s="170"/>
      <c r="Y664" s="170"/>
      <c r="Z664" s="170"/>
    </row>
    <row r="665" ht="15.75" customHeight="1">
      <c r="A665" s="170"/>
      <c r="B665" s="170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0"/>
      <c r="V665" s="170"/>
      <c r="W665" s="170"/>
      <c r="X665" s="170"/>
      <c r="Y665" s="170"/>
      <c r="Z665" s="170"/>
    </row>
    <row r="666" ht="15.75" customHeight="1">
      <c r="A666" s="170"/>
      <c r="B666" s="170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0"/>
      <c r="V666" s="170"/>
      <c r="W666" s="170"/>
      <c r="X666" s="170"/>
      <c r="Y666" s="170"/>
      <c r="Z666" s="170"/>
    </row>
    <row r="667" ht="15.75" customHeight="1">
      <c r="A667" s="170"/>
      <c r="B667" s="170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0"/>
      <c r="V667" s="170"/>
      <c r="W667" s="170"/>
      <c r="X667" s="170"/>
      <c r="Y667" s="170"/>
      <c r="Z667" s="170"/>
    </row>
    <row r="668" ht="15.75" customHeight="1">
      <c r="A668" s="170"/>
      <c r="B668" s="170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0"/>
      <c r="V668" s="170"/>
      <c r="W668" s="170"/>
      <c r="X668" s="170"/>
      <c r="Y668" s="170"/>
      <c r="Z668" s="170"/>
    </row>
    <row r="669" ht="15.75" customHeight="1">
      <c r="A669" s="170"/>
      <c r="B669" s="170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0"/>
      <c r="V669" s="170"/>
      <c r="W669" s="170"/>
      <c r="X669" s="170"/>
      <c r="Y669" s="170"/>
      <c r="Z669" s="170"/>
    </row>
    <row r="670" ht="15.75" customHeight="1">
      <c r="A670" s="170"/>
      <c r="B670" s="170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0"/>
      <c r="V670" s="170"/>
      <c r="W670" s="170"/>
      <c r="X670" s="170"/>
      <c r="Y670" s="170"/>
      <c r="Z670" s="170"/>
    </row>
    <row r="671" ht="15.75" customHeight="1">
      <c r="A671" s="170"/>
      <c r="B671" s="170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0"/>
      <c r="V671" s="170"/>
      <c r="W671" s="170"/>
      <c r="X671" s="170"/>
      <c r="Y671" s="170"/>
      <c r="Z671" s="170"/>
    </row>
    <row r="672" ht="15.75" customHeight="1">
      <c r="A672" s="170"/>
      <c r="B672" s="170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0"/>
      <c r="V672" s="170"/>
      <c r="W672" s="170"/>
      <c r="X672" s="170"/>
      <c r="Y672" s="170"/>
      <c r="Z672" s="170"/>
    </row>
    <row r="673" ht="15.75" customHeight="1">
      <c r="A673" s="170"/>
      <c r="B673" s="170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0"/>
      <c r="V673" s="170"/>
      <c r="W673" s="170"/>
      <c r="X673" s="170"/>
      <c r="Y673" s="170"/>
      <c r="Z673" s="170"/>
    </row>
    <row r="674" ht="15.75" customHeight="1">
      <c r="A674" s="170"/>
      <c r="B674" s="170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0"/>
      <c r="V674" s="170"/>
      <c r="W674" s="170"/>
      <c r="X674" s="170"/>
      <c r="Y674" s="170"/>
      <c r="Z674" s="170"/>
    </row>
    <row r="675" ht="15.75" customHeight="1">
      <c r="A675" s="170"/>
      <c r="B675" s="170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0"/>
      <c r="V675" s="170"/>
      <c r="W675" s="170"/>
      <c r="X675" s="170"/>
      <c r="Y675" s="170"/>
      <c r="Z675" s="170"/>
    </row>
    <row r="676" ht="15.75" customHeight="1">
      <c r="A676" s="170"/>
      <c r="B676" s="170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0"/>
      <c r="V676" s="170"/>
      <c r="W676" s="170"/>
      <c r="X676" s="170"/>
      <c r="Y676" s="170"/>
      <c r="Z676" s="170"/>
    </row>
    <row r="677" ht="15.75" customHeight="1">
      <c r="A677" s="170"/>
      <c r="B677" s="170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0"/>
      <c r="V677" s="170"/>
      <c r="W677" s="170"/>
      <c r="X677" s="170"/>
      <c r="Y677" s="170"/>
      <c r="Z677" s="170"/>
    </row>
    <row r="678" ht="15.75" customHeight="1">
      <c r="A678" s="170"/>
      <c r="B678" s="170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0"/>
      <c r="V678" s="170"/>
      <c r="W678" s="170"/>
      <c r="X678" s="170"/>
      <c r="Y678" s="170"/>
      <c r="Z678" s="170"/>
    </row>
    <row r="679" ht="15.75" customHeight="1">
      <c r="A679" s="170"/>
      <c r="B679" s="170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0"/>
      <c r="V679" s="170"/>
      <c r="W679" s="170"/>
      <c r="X679" s="170"/>
      <c r="Y679" s="170"/>
      <c r="Z679" s="170"/>
    </row>
    <row r="680" ht="15.75" customHeight="1">
      <c r="A680" s="170"/>
      <c r="B680" s="170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0"/>
      <c r="V680" s="170"/>
      <c r="W680" s="170"/>
      <c r="X680" s="170"/>
      <c r="Y680" s="170"/>
      <c r="Z680" s="170"/>
    </row>
    <row r="681" ht="15.75" customHeight="1">
      <c r="A681" s="170"/>
      <c r="B681" s="170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0"/>
      <c r="V681" s="170"/>
      <c r="W681" s="170"/>
      <c r="X681" s="170"/>
      <c r="Y681" s="170"/>
      <c r="Z681" s="170"/>
    </row>
    <row r="682" ht="15.75" customHeight="1">
      <c r="A682" s="170"/>
      <c r="B682" s="170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0"/>
      <c r="V682" s="170"/>
      <c r="W682" s="170"/>
      <c r="X682" s="170"/>
      <c r="Y682" s="170"/>
      <c r="Z682" s="170"/>
    </row>
    <row r="683" ht="15.75" customHeight="1">
      <c r="A683" s="170"/>
      <c r="B683" s="170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0"/>
      <c r="V683" s="170"/>
      <c r="W683" s="170"/>
      <c r="X683" s="170"/>
      <c r="Y683" s="170"/>
      <c r="Z683" s="170"/>
    </row>
    <row r="684" ht="15.75" customHeight="1">
      <c r="A684" s="170"/>
      <c r="B684" s="170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0"/>
      <c r="V684" s="170"/>
      <c r="W684" s="170"/>
      <c r="X684" s="170"/>
      <c r="Y684" s="170"/>
      <c r="Z684" s="170"/>
    </row>
    <row r="685" ht="15.75" customHeight="1">
      <c r="A685" s="170"/>
      <c r="B685" s="170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0"/>
      <c r="V685" s="170"/>
      <c r="W685" s="170"/>
      <c r="X685" s="170"/>
      <c r="Y685" s="170"/>
      <c r="Z685" s="170"/>
    </row>
    <row r="686" ht="15.75" customHeight="1">
      <c r="A686" s="170"/>
      <c r="B686" s="170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0"/>
      <c r="V686" s="170"/>
      <c r="W686" s="170"/>
      <c r="X686" s="170"/>
      <c r="Y686" s="170"/>
      <c r="Z686" s="170"/>
    </row>
    <row r="687" ht="15.75" customHeight="1">
      <c r="A687" s="170"/>
      <c r="B687" s="170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0"/>
      <c r="V687" s="170"/>
      <c r="W687" s="170"/>
      <c r="X687" s="170"/>
      <c r="Y687" s="170"/>
      <c r="Z687" s="170"/>
    </row>
    <row r="688" ht="15.75" customHeight="1">
      <c r="A688" s="170"/>
      <c r="B688" s="170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0"/>
      <c r="V688" s="170"/>
      <c r="W688" s="170"/>
      <c r="X688" s="170"/>
      <c r="Y688" s="170"/>
      <c r="Z688" s="170"/>
    </row>
    <row r="689" ht="15.75" customHeight="1">
      <c r="A689" s="170"/>
      <c r="B689" s="170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0"/>
      <c r="V689" s="170"/>
      <c r="W689" s="170"/>
      <c r="X689" s="170"/>
      <c r="Y689" s="170"/>
      <c r="Z689" s="170"/>
    </row>
    <row r="690" ht="15.75" customHeight="1">
      <c r="A690" s="170"/>
      <c r="B690" s="170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0"/>
      <c r="V690" s="170"/>
      <c r="W690" s="170"/>
      <c r="X690" s="170"/>
      <c r="Y690" s="170"/>
      <c r="Z690" s="170"/>
    </row>
    <row r="691" ht="15.75" customHeight="1">
      <c r="A691" s="170"/>
      <c r="B691" s="170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0"/>
      <c r="V691" s="170"/>
      <c r="W691" s="170"/>
      <c r="X691" s="170"/>
      <c r="Y691" s="170"/>
      <c r="Z691" s="170"/>
    </row>
    <row r="692" ht="15.75" customHeight="1">
      <c r="A692" s="170"/>
      <c r="B692" s="170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0"/>
      <c r="V692" s="170"/>
      <c r="W692" s="170"/>
      <c r="X692" s="170"/>
      <c r="Y692" s="170"/>
      <c r="Z692" s="170"/>
    </row>
    <row r="693" ht="15.75" customHeight="1">
      <c r="A693" s="170"/>
      <c r="B693" s="170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0"/>
      <c r="V693" s="170"/>
      <c r="W693" s="170"/>
      <c r="X693" s="170"/>
      <c r="Y693" s="170"/>
      <c r="Z693" s="170"/>
    </row>
    <row r="694" ht="15.75" customHeight="1">
      <c r="A694" s="170"/>
      <c r="B694" s="170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0"/>
      <c r="V694" s="170"/>
      <c r="W694" s="170"/>
      <c r="X694" s="170"/>
      <c r="Y694" s="170"/>
      <c r="Z694" s="170"/>
    </row>
    <row r="695" ht="15.75" customHeight="1">
      <c r="A695" s="170"/>
      <c r="B695" s="170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0"/>
      <c r="V695" s="170"/>
      <c r="W695" s="170"/>
      <c r="X695" s="170"/>
      <c r="Y695" s="170"/>
      <c r="Z695" s="170"/>
    </row>
    <row r="696" ht="15.75" customHeight="1">
      <c r="A696" s="170"/>
      <c r="B696" s="170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0"/>
      <c r="V696" s="170"/>
      <c r="W696" s="170"/>
      <c r="X696" s="170"/>
      <c r="Y696" s="170"/>
      <c r="Z696" s="170"/>
    </row>
    <row r="697" ht="15.75" customHeight="1">
      <c r="A697" s="170"/>
      <c r="B697" s="170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0"/>
      <c r="V697" s="170"/>
      <c r="W697" s="170"/>
      <c r="X697" s="170"/>
      <c r="Y697" s="170"/>
      <c r="Z697" s="170"/>
    </row>
    <row r="698" ht="15.75" customHeight="1">
      <c r="A698" s="170"/>
      <c r="B698" s="170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0"/>
      <c r="V698" s="170"/>
      <c r="W698" s="170"/>
      <c r="X698" s="170"/>
      <c r="Y698" s="170"/>
      <c r="Z698" s="170"/>
    </row>
    <row r="699" ht="15.75" customHeight="1">
      <c r="A699" s="170"/>
      <c r="B699" s="170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0"/>
      <c r="V699" s="170"/>
      <c r="W699" s="170"/>
      <c r="X699" s="170"/>
      <c r="Y699" s="170"/>
      <c r="Z699" s="170"/>
    </row>
    <row r="700" ht="15.75" customHeight="1">
      <c r="A700" s="170"/>
      <c r="B700" s="170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0"/>
      <c r="V700" s="170"/>
      <c r="W700" s="170"/>
      <c r="X700" s="170"/>
      <c r="Y700" s="170"/>
      <c r="Z700" s="170"/>
    </row>
    <row r="701" ht="15.75" customHeight="1">
      <c r="A701" s="170"/>
      <c r="B701" s="170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0"/>
      <c r="V701" s="170"/>
      <c r="W701" s="170"/>
      <c r="X701" s="170"/>
      <c r="Y701" s="170"/>
      <c r="Z701" s="170"/>
    </row>
    <row r="702" ht="15.75" customHeight="1">
      <c r="A702" s="170"/>
      <c r="B702" s="170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0"/>
      <c r="V702" s="170"/>
      <c r="W702" s="170"/>
      <c r="X702" s="170"/>
      <c r="Y702" s="170"/>
      <c r="Z702" s="170"/>
    </row>
    <row r="703" ht="15.75" customHeight="1">
      <c r="A703" s="170"/>
      <c r="B703" s="170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0"/>
      <c r="V703" s="170"/>
      <c r="W703" s="170"/>
      <c r="X703" s="170"/>
      <c r="Y703" s="170"/>
      <c r="Z703" s="170"/>
    </row>
    <row r="704" ht="15.75" customHeight="1">
      <c r="A704" s="170"/>
      <c r="B704" s="170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0"/>
      <c r="V704" s="170"/>
      <c r="W704" s="170"/>
      <c r="X704" s="170"/>
      <c r="Y704" s="170"/>
      <c r="Z704" s="170"/>
    </row>
    <row r="705" ht="15.75" customHeight="1">
      <c r="A705" s="170"/>
      <c r="B705" s="170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0"/>
      <c r="V705" s="170"/>
      <c r="W705" s="170"/>
      <c r="X705" s="170"/>
      <c r="Y705" s="170"/>
      <c r="Z705" s="170"/>
    </row>
    <row r="706" ht="15.75" customHeight="1">
      <c r="A706" s="170"/>
      <c r="B706" s="170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</row>
    <row r="707" ht="15.75" customHeight="1">
      <c r="A707" s="170"/>
      <c r="B707" s="170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0"/>
      <c r="V707" s="170"/>
      <c r="W707" s="170"/>
      <c r="X707" s="170"/>
      <c r="Y707" s="170"/>
      <c r="Z707" s="170"/>
    </row>
    <row r="708" ht="15.75" customHeight="1">
      <c r="A708" s="170"/>
      <c r="B708" s="170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0"/>
      <c r="V708" s="170"/>
      <c r="W708" s="170"/>
      <c r="X708" s="170"/>
      <c r="Y708" s="170"/>
      <c r="Z708" s="170"/>
    </row>
    <row r="709" ht="15.75" customHeight="1">
      <c r="A709" s="170"/>
      <c r="B709" s="170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0"/>
      <c r="V709" s="170"/>
      <c r="W709" s="170"/>
      <c r="X709" s="170"/>
      <c r="Y709" s="170"/>
      <c r="Z709" s="170"/>
    </row>
    <row r="710" ht="15.75" customHeight="1">
      <c r="A710" s="170"/>
      <c r="B710" s="170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0"/>
      <c r="V710" s="170"/>
      <c r="W710" s="170"/>
      <c r="X710" s="170"/>
      <c r="Y710" s="170"/>
      <c r="Z710" s="170"/>
    </row>
    <row r="711" ht="15.75" customHeight="1">
      <c r="A711" s="170"/>
      <c r="B711" s="170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0"/>
      <c r="V711" s="170"/>
      <c r="W711" s="170"/>
      <c r="X711" s="170"/>
      <c r="Y711" s="170"/>
      <c r="Z711" s="170"/>
    </row>
    <row r="712" ht="15.75" customHeight="1">
      <c r="A712" s="170"/>
      <c r="B712" s="170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0"/>
      <c r="V712" s="170"/>
      <c r="W712" s="170"/>
      <c r="X712" s="170"/>
      <c r="Y712" s="170"/>
      <c r="Z712" s="170"/>
    </row>
    <row r="713" ht="15.75" customHeight="1">
      <c r="A713" s="170"/>
      <c r="B713" s="170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0"/>
      <c r="V713" s="170"/>
      <c r="W713" s="170"/>
      <c r="X713" s="170"/>
      <c r="Y713" s="170"/>
      <c r="Z713" s="170"/>
    </row>
    <row r="714" ht="15.75" customHeight="1">
      <c r="A714" s="170"/>
      <c r="B714" s="170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0"/>
      <c r="V714" s="170"/>
      <c r="W714" s="170"/>
      <c r="X714" s="170"/>
      <c r="Y714" s="170"/>
      <c r="Z714" s="170"/>
    </row>
    <row r="715" ht="15.75" customHeight="1">
      <c r="A715" s="170"/>
      <c r="B715" s="170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0"/>
      <c r="V715" s="170"/>
      <c r="W715" s="170"/>
      <c r="X715" s="170"/>
      <c r="Y715" s="170"/>
      <c r="Z715" s="170"/>
    </row>
    <row r="716" ht="15.75" customHeight="1">
      <c r="A716" s="170"/>
      <c r="B716" s="170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0"/>
      <c r="V716" s="170"/>
      <c r="W716" s="170"/>
      <c r="X716" s="170"/>
      <c r="Y716" s="170"/>
      <c r="Z716" s="170"/>
    </row>
    <row r="717" ht="15.75" customHeight="1">
      <c r="A717" s="170"/>
      <c r="B717" s="170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0"/>
      <c r="V717" s="170"/>
      <c r="W717" s="170"/>
      <c r="X717" s="170"/>
      <c r="Y717" s="170"/>
      <c r="Z717" s="170"/>
    </row>
    <row r="718" ht="15.75" customHeight="1">
      <c r="A718" s="170"/>
      <c r="B718" s="170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0"/>
      <c r="V718" s="170"/>
      <c r="W718" s="170"/>
      <c r="X718" s="170"/>
      <c r="Y718" s="170"/>
      <c r="Z718" s="170"/>
    </row>
    <row r="719" ht="15.75" customHeight="1">
      <c r="A719" s="170"/>
      <c r="B719" s="170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0"/>
      <c r="V719" s="170"/>
      <c r="W719" s="170"/>
      <c r="X719" s="170"/>
      <c r="Y719" s="170"/>
      <c r="Z719" s="170"/>
    </row>
    <row r="720" ht="15.75" customHeight="1">
      <c r="A720" s="170"/>
      <c r="B720" s="170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0"/>
      <c r="V720" s="170"/>
      <c r="W720" s="170"/>
      <c r="X720" s="170"/>
      <c r="Y720" s="170"/>
      <c r="Z720" s="170"/>
    </row>
    <row r="721" ht="15.75" customHeight="1">
      <c r="A721" s="170"/>
      <c r="B721" s="170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0"/>
      <c r="V721" s="170"/>
      <c r="W721" s="170"/>
      <c r="X721" s="170"/>
      <c r="Y721" s="170"/>
      <c r="Z721" s="170"/>
    </row>
    <row r="722" ht="15.75" customHeight="1">
      <c r="A722" s="170"/>
      <c r="B722" s="170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0"/>
      <c r="V722" s="170"/>
      <c r="W722" s="170"/>
      <c r="X722" s="170"/>
      <c r="Y722" s="170"/>
      <c r="Z722" s="170"/>
    </row>
    <row r="723" ht="15.75" customHeight="1">
      <c r="A723" s="170"/>
      <c r="B723" s="170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0"/>
      <c r="V723" s="170"/>
      <c r="W723" s="170"/>
      <c r="X723" s="170"/>
      <c r="Y723" s="170"/>
      <c r="Z723" s="170"/>
    </row>
    <row r="724" ht="15.75" customHeight="1">
      <c r="A724" s="170"/>
      <c r="B724" s="170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0"/>
      <c r="V724" s="170"/>
      <c r="W724" s="170"/>
      <c r="X724" s="170"/>
      <c r="Y724" s="170"/>
      <c r="Z724" s="170"/>
    </row>
    <row r="725" ht="15.75" customHeight="1">
      <c r="A725" s="170"/>
      <c r="B725" s="170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0"/>
      <c r="V725" s="170"/>
      <c r="W725" s="170"/>
      <c r="X725" s="170"/>
      <c r="Y725" s="170"/>
      <c r="Z725" s="170"/>
    </row>
    <row r="726" ht="15.75" customHeight="1">
      <c r="A726" s="170"/>
      <c r="B726" s="170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0"/>
      <c r="V726" s="170"/>
      <c r="W726" s="170"/>
      <c r="X726" s="170"/>
      <c r="Y726" s="170"/>
      <c r="Z726" s="170"/>
    </row>
    <row r="727" ht="15.75" customHeight="1">
      <c r="A727" s="170"/>
      <c r="B727" s="170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0"/>
      <c r="V727" s="170"/>
      <c r="W727" s="170"/>
      <c r="X727" s="170"/>
      <c r="Y727" s="170"/>
      <c r="Z727" s="170"/>
    </row>
    <row r="728" ht="15.75" customHeight="1">
      <c r="A728" s="170"/>
      <c r="B728" s="170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0"/>
      <c r="V728" s="170"/>
      <c r="W728" s="170"/>
      <c r="X728" s="170"/>
      <c r="Y728" s="170"/>
      <c r="Z728" s="170"/>
    </row>
    <row r="729" ht="15.75" customHeight="1">
      <c r="A729" s="170"/>
      <c r="B729" s="170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0"/>
      <c r="V729" s="170"/>
      <c r="W729" s="170"/>
      <c r="X729" s="170"/>
      <c r="Y729" s="170"/>
      <c r="Z729" s="170"/>
    </row>
    <row r="730" ht="15.75" customHeight="1">
      <c r="A730" s="170"/>
      <c r="B730" s="170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</row>
    <row r="731" ht="15.75" customHeight="1">
      <c r="A731" s="170"/>
      <c r="B731" s="170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0"/>
      <c r="V731" s="170"/>
      <c r="W731" s="170"/>
      <c r="X731" s="170"/>
      <c r="Y731" s="170"/>
      <c r="Z731" s="170"/>
    </row>
    <row r="732" ht="15.75" customHeight="1">
      <c r="A732" s="170"/>
      <c r="B732" s="170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0"/>
      <c r="V732" s="170"/>
      <c r="W732" s="170"/>
      <c r="X732" s="170"/>
      <c r="Y732" s="170"/>
      <c r="Z732" s="170"/>
    </row>
    <row r="733" ht="15.75" customHeight="1">
      <c r="A733" s="170"/>
      <c r="B733" s="170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0"/>
      <c r="V733" s="170"/>
      <c r="W733" s="170"/>
      <c r="X733" s="170"/>
      <c r="Y733" s="170"/>
      <c r="Z733" s="170"/>
    </row>
    <row r="734" ht="15.75" customHeight="1">
      <c r="A734" s="170"/>
      <c r="B734" s="170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0"/>
      <c r="V734" s="170"/>
      <c r="W734" s="170"/>
      <c r="X734" s="170"/>
      <c r="Y734" s="170"/>
      <c r="Z734" s="170"/>
    </row>
    <row r="735" ht="15.75" customHeight="1">
      <c r="A735" s="170"/>
      <c r="B735" s="170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0"/>
      <c r="V735" s="170"/>
      <c r="W735" s="170"/>
      <c r="X735" s="170"/>
      <c r="Y735" s="170"/>
      <c r="Z735" s="170"/>
    </row>
    <row r="736" ht="15.75" customHeight="1">
      <c r="A736" s="170"/>
      <c r="B736" s="170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0"/>
      <c r="V736" s="170"/>
      <c r="W736" s="170"/>
      <c r="X736" s="170"/>
      <c r="Y736" s="170"/>
      <c r="Z736" s="170"/>
    </row>
    <row r="737" ht="15.75" customHeight="1">
      <c r="A737" s="170"/>
      <c r="B737" s="170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0"/>
      <c r="V737" s="170"/>
      <c r="W737" s="170"/>
      <c r="X737" s="170"/>
      <c r="Y737" s="170"/>
      <c r="Z737" s="170"/>
    </row>
    <row r="738" ht="15.75" customHeight="1">
      <c r="A738" s="170"/>
      <c r="B738" s="170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0"/>
      <c r="V738" s="170"/>
      <c r="W738" s="170"/>
      <c r="X738" s="170"/>
      <c r="Y738" s="170"/>
      <c r="Z738" s="170"/>
    </row>
    <row r="739" ht="15.75" customHeight="1">
      <c r="A739" s="170"/>
      <c r="B739" s="170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0"/>
      <c r="V739" s="170"/>
      <c r="W739" s="170"/>
      <c r="X739" s="170"/>
      <c r="Y739" s="170"/>
      <c r="Z739" s="170"/>
    </row>
    <row r="740" ht="15.75" customHeight="1">
      <c r="A740" s="170"/>
      <c r="B740" s="170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0"/>
      <c r="V740" s="170"/>
      <c r="W740" s="170"/>
      <c r="X740" s="170"/>
      <c r="Y740" s="170"/>
      <c r="Z740" s="170"/>
    </row>
    <row r="741" ht="15.75" customHeight="1">
      <c r="A741" s="170"/>
      <c r="B741" s="170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0"/>
      <c r="V741" s="170"/>
      <c r="W741" s="170"/>
      <c r="X741" s="170"/>
      <c r="Y741" s="170"/>
      <c r="Z741" s="170"/>
    </row>
    <row r="742" ht="15.75" customHeight="1">
      <c r="A742" s="170"/>
      <c r="B742" s="170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0"/>
      <c r="V742" s="170"/>
      <c r="W742" s="170"/>
      <c r="X742" s="170"/>
      <c r="Y742" s="170"/>
      <c r="Z742" s="170"/>
    </row>
    <row r="743" ht="15.75" customHeight="1">
      <c r="A743" s="170"/>
      <c r="B743" s="170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0"/>
      <c r="V743" s="170"/>
      <c r="W743" s="170"/>
      <c r="X743" s="170"/>
      <c r="Y743" s="170"/>
      <c r="Z743" s="170"/>
    </row>
    <row r="744" ht="15.75" customHeight="1">
      <c r="A744" s="170"/>
      <c r="B744" s="170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0"/>
      <c r="V744" s="170"/>
      <c r="W744" s="170"/>
      <c r="X744" s="170"/>
      <c r="Y744" s="170"/>
      <c r="Z744" s="170"/>
    </row>
    <row r="745" ht="15.75" customHeight="1">
      <c r="A745" s="170"/>
      <c r="B745" s="170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0"/>
      <c r="V745" s="170"/>
      <c r="W745" s="170"/>
      <c r="X745" s="170"/>
      <c r="Y745" s="170"/>
      <c r="Z745" s="170"/>
    </row>
    <row r="746" ht="15.75" customHeight="1">
      <c r="A746" s="170"/>
      <c r="B746" s="170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0"/>
      <c r="V746" s="170"/>
      <c r="W746" s="170"/>
      <c r="X746" s="170"/>
      <c r="Y746" s="170"/>
      <c r="Z746" s="170"/>
    </row>
    <row r="747" ht="15.75" customHeight="1">
      <c r="A747" s="170"/>
      <c r="B747" s="170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0"/>
      <c r="V747" s="170"/>
      <c r="W747" s="170"/>
      <c r="X747" s="170"/>
      <c r="Y747" s="170"/>
      <c r="Z747" s="170"/>
    </row>
    <row r="748" ht="15.75" customHeight="1">
      <c r="A748" s="170"/>
      <c r="B748" s="170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0"/>
      <c r="V748" s="170"/>
      <c r="W748" s="170"/>
      <c r="X748" s="170"/>
      <c r="Y748" s="170"/>
      <c r="Z748" s="170"/>
    </row>
    <row r="749" ht="15.75" customHeight="1">
      <c r="A749" s="170"/>
      <c r="B749" s="170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0"/>
      <c r="V749" s="170"/>
      <c r="W749" s="170"/>
      <c r="X749" s="170"/>
      <c r="Y749" s="170"/>
      <c r="Z749" s="170"/>
    </row>
    <row r="750" ht="15.75" customHeight="1">
      <c r="A750" s="170"/>
      <c r="B750" s="170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0"/>
      <c r="V750" s="170"/>
      <c r="W750" s="170"/>
      <c r="X750" s="170"/>
      <c r="Y750" s="170"/>
      <c r="Z750" s="170"/>
    </row>
    <row r="751" ht="15.75" customHeight="1">
      <c r="A751" s="170"/>
      <c r="B751" s="170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0"/>
      <c r="V751" s="170"/>
      <c r="W751" s="170"/>
      <c r="X751" s="170"/>
      <c r="Y751" s="170"/>
      <c r="Z751" s="170"/>
    </row>
    <row r="752" ht="15.75" customHeight="1">
      <c r="A752" s="170"/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0"/>
      <c r="V752" s="170"/>
      <c r="W752" s="170"/>
      <c r="X752" s="170"/>
      <c r="Y752" s="170"/>
      <c r="Z752" s="170"/>
    </row>
    <row r="753" ht="15.75" customHeight="1">
      <c r="A753" s="170"/>
      <c r="B753" s="170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0"/>
      <c r="V753" s="170"/>
      <c r="W753" s="170"/>
      <c r="X753" s="170"/>
      <c r="Y753" s="170"/>
      <c r="Z753" s="170"/>
    </row>
    <row r="754" ht="15.75" customHeight="1">
      <c r="A754" s="170"/>
      <c r="B754" s="170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0"/>
      <c r="V754" s="170"/>
      <c r="W754" s="170"/>
      <c r="X754" s="170"/>
      <c r="Y754" s="170"/>
      <c r="Z754" s="170"/>
    </row>
    <row r="755" ht="15.75" customHeight="1">
      <c r="A755" s="170"/>
      <c r="B755" s="170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0"/>
      <c r="V755" s="170"/>
      <c r="W755" s="170"/>
      <c r="X755" s="170"/>
      <c r="Y755" s="170"/>
      <c r="Z755" s="170"/>
    </row>
    <row r="756" ht="15.75" customHeight="1">
      <c r="A756" s="170"/>
      <c r="B756" s="170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0"/>
      <c r="V756" s="170"/>
      <c r="W756" s="170"/>
      <c r="X756" s="170"/>
      <c r="Y756" s="170"/>
      <c r="Z756" s="170"/>
    </row>
    <row r="757" ht="15.75" customHeight="1">
      <c r="A757" s="170"/>
      <c r="B757" s="170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0"/>
      <c r="V757" s="170"/>
      <c r="W757" s="170"/>
      <c r="X757" s="170"/>
      <c r="Y757" s="170"/>
      <c r="Z757" s="170"/>
    </row>
    <row r="758" ht="15.75" customHeight="1">
      <c r="A758" s="170"/>
      <c r="B758" s="170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0"/>
      <c r="V758" s="170"/>
      <c r="W758" s="170"/>
      <c r="X758" s="170"/>
      <c r="Y758" s="170"/>
      <c r="Z758" s="170"/>
    </row>
    <row r="759" ht="15.75" customHeight="1">
      <c r="A759" s="170"/>
      <c r="B759" s="170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0"/>
      <c r="V759" s="170"/>
      <c r="W759" s="170"/>
      <c r="X759" s="170"/>
      <c r="Y759" s="170"/>
      <c r="Z759" s="170"/>
    </row>
    <row r="760" ht="15.75" customHeight="1">
      <c r="A760" s="170"/>
      <c r="B760" s="170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0"/>
      <c r="V760" s="170"/>
      <c r="W760" s="170"/>
      <c r="X760" s="170"/>
      <c r="Y760" s="170"/>
      <c r="Z760" s="170"/>
    </row>
    <row r="761" ht="15.75" customHeight="1">
      <c r="A761" s="170"/>
      <c r="B761" s="170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0"/>
      <c r="V761" s="170"/>
      <c r="W761" s="170"/>
      <c r="X761" s="170"/>
      <c r="Y761" s="170"/>
      <c r="Z761" s="170"/>
    </row>
    <row r="762" ht="15.75" customHeight="1">
      <c r="A762" s="170"/>
      <c r="B762" s="170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0"/>
      <c r="V762" s="170"/>
      <c r="W762" s="170"/>
      <c r="X762" s="170"/>
      <c r="Y762" s="170"/>
      <c r="Z762" s="170"/>
    </row>
    <row r="763" ht="15.75" customHeight="1">
      <c r="A763" s="170"/>
      <c r="B763" s="170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0"/>
      <c r="V763" s="170"/>
      <c r="W763" s="170"/>
      <c r="X763" s="170"/>
      <c r="Y763" s="170"/>
      <c r="Z763" s="170"/>
    </row>
    <row r="764" ht="15.75" customHeight="1">
      <c r="A764" s="170"/>
      <c r="B764" s="170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0"/>
      <c r="V764" s="170"/>
      <c r="W764" s="170"/>
      <c r="X764" s="170"/>
      <c r="Y764" s="170"/>
      <c r="Z764" s="170"/>
    </row>
    <row r="765" ht="15.75" customHeight="1">
      <c r="A765" s="170"/>
      <c r="B765" s="170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0"/>
      <c r="V765" s="170"/>
      <c r="W765" s="170"/>
      <c r="X765" s="170"/>
      <c r="Y765" s="170"/>
      <c r="Z765" s="170"/>
    </row>
    <row r="766" ht="15.75" customHeight="1">
      <c r="A766" s="170"/>
      <c r="B766" s="170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0"/>
      <c r="V766" s="170"/>
      <c r="W766" s="170"/>
      <c r="X766" s="170"/>
      <c r="Y766" s="170"/>
      <c r="Z766" s="170"/>
    </row>
    <row r="767" ht="15.75" customHeight="1">
      <c r="A767" s="170"/>
      <c r="B767" s="170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0"/>
      <c r="V767" s="170"/>
      <c r="W767" s="170"/>
      <c r="X767" s="170"/>
      <c r="Y767" s="170"/>
      <c r="Z767" s="170"/>
    </row>
    <row r="768" ht="15.75" customHeight="1">
      <c r="A768" s="170"/>
      <c r="B768" s="170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0"/>
      <c r="V768" s="170"/>
      <c r="W768" s="170"/>
      <c r="X768" s="170"/>
      <c r="Y768" s="170"/>
      <c r="Z768" s="170"/>
    </row>
    <row r="769" ht="15.75" customHeight="1">
      <c r="A769" s="170"/>
      <c r="B769" s="170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0"/>
      <c r="V769" s="170"/>
      <c r="W769" s="170"/>
      <c r="X769" s="170"/>
      <c r="Y769" s="170"/>
      <c r="Z769" s="170"/>
    </row>
    <row r="770" ht="15.75" customHeight="1">
      <c r="A770" s="170"/>
      <c r="B770" s="170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</row>
    <row r="771" ht="15.75" customHeight="1">
      <c r="A771" s="170"/>
      <c r="B771" s="170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0"/>
      <c r="V771" s="170"/>
      <c r="W771" s="170"/>
      <c r="X771" s="170"/>
      <c r="Y771" s="170"/>
      <c r="Z771" s="170"/>
    </row>
    <row r="772" ht="15.75" customHeight="1">
      <c r="A772" s="170"/>
      <c r="B772" s="170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0"/>
      <c r="V772" s="170"/>
      <c r="W772" s="170"/>
      <c r="X772" s="170"/>
      <c r="Y772" s="170"/>
      <c r="Z772" s="170"/>
    </row>
    <row r="773" ht="15.75" customHeight="1">
      <c r="A773" s="170"/>
      <c r="B773" s="170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0"/>
      <c r="V773" s="170"/>
      <c r="W773" s="170"/>
      <c r="X773" s="170"/>
      <c r="Y773" s="170"/>
      <c r="Z773" s="170"/>
    </row>
    <row r="774" ht="15.75" customHeight="1">
      <c r="A774" s="170"/>
      <c r="B774" s="170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0"/>
      <c r="V774" s="170"/>
      <c r="W774" s="170"/>
      <c r="X774" s="170"/>
      <c r="Y774" s="170"/>
      <c r="Z774" s="170"/>
    </row>
    <row r="775" ht="15.75" customHeight="1">
      <c r="A775" s="170"/>
      <c r="B775" s="170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0"/>
      <c r="V775" s="170"/>
      <c r="W775" s="170"/>
      <c r="X775" s="170"/>
      <c r="Y775" s="170"/>
      <c r="Z775" s="170"/>
    </row>
    <row r="776" ht="15.75" customHeight="1">
      <c r="A776" s="170"/>
      <c r="B776" s="170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0"/>
      <c r="V776" s="170"/>
      <c r="W776" s="170"/>
      <c r="X776" s="170"/>
      <c r="Y776" s="170"/>
      <c r="Z776" s="170"/>
    </row>
    <row r="777" ht="15.75" customHeight="1">
      <c r="A777" s="170"/>
      <c r="B777" s="170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0"/>
      <c r="V777" s="170"/>
      <c r="W777" s="170"/>
      <c r="X777" s="170"/>
      <c r="Y777" s="170"/>
      <c r="Z777" s="170"/>
    </row>
    <row r="778" ht="15.75" customHeight="1">
      <c r="A778" s="170"/>
      <c r="B778" s="170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0"/>
      <c r="V778" s="170"/>
      <c r="W778" s="170"/>
      <c r="X778" s="170"/>
      <c r="Y778" s="170"/>
      <c r="Z778" s="170"/>
    </row>
    <row r="779" ht="15.75" customHeight="1">
      <c r="A779" s="170"/>
      <c r="B779" s="170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0"/>
      <c r="V779" s="170"/>
      <c r="W779" s="170"/>
      <c r="X779" s="170"/>
      <c r="Y779" s="170"/>
      <c r="Z779" s="170"/>
    </row>
    <row r="780" ht="15.75" customHeight="1">
      <c r="A780" s="170"/>
      <c r="B780" s="170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</row>
    <row r="781" ht="15.75" customHeight="1">
      <c r="A781" s="170"/>
      <c r="B781" s="170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0"/>
      <c r="V781" s="170"/>
      <c r="W781" s="170"/>
      <c r="X781" s="170"/>
      <c r="Y781" s="170"/>
      <c r="Z781" s="170"/>
    </row>
    <row r="782" ht="15.75" customHeight="1">
      <c r="A782" s="170"/>
      <c r="B782" s="170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0"/>
      <c r="V782" s="170"/>
      <c r="W782" s="170"/>
      <c r="X782" s="170"/>
      <c r="Y782" s="170"/>
      <c r="Z782" s="170"/>
    </row>
    <row r="783" ht="15.75" customHeight="1">
      <c r="A783" s="170"/>
      <c r="B783" s="170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0"/>
      <c r="V783" s="170"/>
      <c r="W783" s="170"/>
      <c r="X783" s="170"/>
      <c r="Y783" s="170"/>
      <c r="Z783" s="170"/>
    </row>
    <row r="784" ht="15.75" customHeight="1">
      <c r="A784" s="170"/>
      <c r="B784" s="170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0"/>
      <c r="V784" s="170"/>
      <c r="W784" s="170"/>
      <c r="X784" s="170"/>
      <c r="Y784" s="170"/>
      <c r="Z784" s="170"/>
    </row>
    <row r="785" ht="15.75" customHeight="1">
      <c r="A785" s="170"/>
      <c r="B785" s="170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0"/>
      <c r="V785" s="170"/>
      <c r="W785" s="170"/>
      <c r="X785" s="170"/>
      <c r="Y785" s="170"/>
      <c r="Z785" s="170"/>
    </row>
    <row r="786" ht="15.75" customHeight="1">
      <c r="A786" s="170"/>
      <c r="B786" s="170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0"/>
      <c r="V786" s="170"/>
      <c r="W786" s="170"/>
      <c r="X786" s="170"/>
      <c r="Y786" s="170"/>
      <c r="Z786" s="170"/>
    </row>
    <row r="787" ht="15.75" customHeight="1">
      <c r="A787" s="170"/>
      <c r="B787" s="170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0"/>
      <c r="V787" s="170"/>
      <c r="W787" s="170"/>
      <c r="X787" s="170"/>
      <c r="Y787" s="170"/>
      <c r="Z787" s="170"/>
    </row>
    <row r="788" ht="15.75" customHeight="1">
      <c r="A788" s="170"/>
      <c r="B788" s="170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0"/>
      <c r="V788" s="170"/>
      <c r="W788" s="170"/>
      <c r="X788" s="170"/>
      <c r="Y788" s="170"/>
      <c r="Z788" s="170"/>
    </row>
    <row r="789" ht="15.75" customHeight="1">
      <c r="A789" s="170"/>
      <c r="B789" s="170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0"/>
      <c r="V789" s="170"/>
      <c r="W789" s="170"/>
      <c r="X789" s="170"/>
      <c r="Y789" s="170"/>
      <c r="Z789" s="170"/>
    </row>
    <row r="790" ht="15.75" customHeight="1">
      <c r="A790" s="170"/>
      <c r="B790" s="170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0"/>
      <c r="V790" s="170"/>
      <c r="W790" s="170"/>
      <c r="X790" s="170"/>
      <c r="Y790" s="170"/>
      <c r="Z790" s="170"/>
    </row>
    <row r="791" ht="15.75" customHeight="1">
      <c r="A791" s="170"/>
      <c r="B791" s="170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0"/>
      <c r="V791" s="170"/>
      <c r="W791" s="170"/>
      <c r="X791" s="170"/>
      <c r="Y791" s="170"/>
      <c r="Z791" s="170"/>
    </row>
    <row r="792" ht="15.75" customHeight="1">
      <c r="A792" s="170"/>
      <c r="B792" s="170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0"/>
      <c r="V792" s="170"/>
      <c r="W792" s="170"/>
      <c r="X792" s="170"/>
      <c r="Y792" s="170"/>
      <c r="Z792" s="170"/>
    </row>
    <row r="793" ht="15.75" customHeight="1">
      <c r="A793" s="170"/>
      <c r="B793" s="170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0"/>
      <c r="V793" s="170"/>
      <c r="W793" s="170"/>
      <c r="X793" s="170"/>
      <c r="Y793" s="170"/>
      <c r="Z793" s="170"/>
    </row>
    <row r="794" ht="15.75" customHeight="1">
      <c r="A794" s="170"/>
      <c r="B794" s="170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0"/>
      <c r="V794" s="170"/>
      <c r="W794" s="170"/>
      <c r="X794" s="170"/>
      <c r="Y794" s="170"/>
      <c r="Z794" s="170"/>
    </row>
    <row r="795" ht="15.75" customHeight="1">
      <c r="A795" s="170"/>
      <c r="B795" s="170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0"/>
      <c r="V795" s="170"/>
      <c r="W795" s="170"/>
      <c r="X795" s="170"/>
      <c r="Y795" s="170"/>
      <c r="Z795" s="170"/>
    </row>
    <row r="796" ht="15.75" customHeight="1">
      <c r="A796" s="170"/>
      <c r="B796" s="170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0"/>
      <c r="V796" s="170"/>
      <c r="W796" s="170"/>
      <c r="X796" s="170"/>
      <c r="Y796" s="170"/>
      <c r="Z796" s="170"/>
    </row>
    <row r="797" ht="15.75" customHeight="1">
      <c r="A797" s="170"/>
      <c r="B797" s="170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0"/>
      <c r="V797" s="170"/>
      <c r="W797" s="170"/>
      <c r="X797" s="170"/>
      <c r="Y797" s="170"/>
      <c r="Z797" s="170"/>
    </row>
    <row r="798" ht="15.75" customHeight="1">
      <c r="A798" s="170"/>
      <c r="B798" s="170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</row>
    <row r="799" ht="15.75" customHeight="1">
      <c r="A799" s="170"/>
      <c r="B799" s="170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</row>
    <row r="800" ht="15.75" customHeight="1">
      <c r="A800" s="170"/>
      <c r="B800" s="170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</row>
    <row r="801" ht="15.75" customHeight="1">
      <c r="A801" s="170"/>
      <c r="B801" s="170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0"/>
      <c r="V801" s="170"/>
      <c r="W801" s="170"/>
      <c r="X801" s="170"/>
      <c r="Y801" s="170"/>
      <c r="Z801" s="170"/>
    </row>
    <row r="802" ht="15.75" customHeight="1">
      <c r="A802" s="170"/>
      <c r="B802" s="170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0"/>
      <c r="V802" s="170"/>
      <c r="W802" s="170"/>
      <c r="X802" s="170"/>
      <c r="Y802" s="170"/>
      <c r="Z802" s="170"/>
    </row>
    <row r="803" ht="15.75" customHeight="1">
      <c r="A803" s="170"/>
      <c r="B803" s="170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0"/>
      <c r="V803" s="170"/>
      <c r="W803" s="170"/>
      <c r="X803" s="170"/>
      <c r="Y803" s="170"/>
      <c r="Z803" s="170"/>
    </row>
    <row r="804" ht="15.75" customHeight="1">
      <c r="A804" s="170"/>
      <c r="B804" s="170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0"/>
      <c r="V804" s="170"/>
      <c r="W804" s="170"/>
      <c r="X804" s="170"/>
      <c r="Y804" s="170"/>
      <c r="Z804" s="170"/>
    </row>
    <row r="805" ht="15.75" customHeight="1">
      <c r="A805" s="170"/>
      <c r="B805" s="170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0"/>
      <c r="V805" s="170"/>
      <c r="W805" s="170"/>
      <c r="X805" s="170"/>
      <c r="Y805" s="170"/>
      <c r="Z805" s="170"/>
    </row>
    <row r="806" ht="15.75" customHeight="1">
      <c r="A806" s="170"/>
      <c r="B806" s="170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0"/>
      <c r="V806" s="170"/>
      <c r="W806" s="170"/>
      <c r="X806" s="170"/>
      <c r="Y806" s="170"/>
      <c r="Z806" s="170"/>
    </row>
    <row r="807" ht="15.75" customHeight="1">
      <c r="A807" s="170"/>
      <c r="B807" s="170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0"/>
      <c r="V807" s="170"/>
      <c r="W807" s="170"/>
      <c r="X807" s="170"/>
      <c r="Y807" s="170"/>
      <c r="Z807" s="170"/>
    </row>
    <row r="808" ht="15.75" customHeight="1">
      <c r="A808" s="170"/>
      <c r="B808" s="170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0"/>
      <c r="V808" s="170"/>
      <c r="W808" s="170"/>
      <c r="X808" s="170"/>
      <c r="Y808" s="170"/>
      <c r="Z808" s="170"/>
    </row>
    <row r="809" ht="15.75" customHeight="1">
      <c r="A809" s="170"/>
      <c r="B809" s="170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0"/>
      <c r="V809" s="170"/>
      <c r="W809" s="170"/>
      <c r="X809" s="170"/>
      <c r="Y809" s="170"/>
      <c r="Z809" s="170"/>
    </row>
    <row r="810" ht="15.75" customHeight="1">
      <c r="A810" s="170"/>
      <c r="B810" s="170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0"/>
      <c r="V810" s="170"/>
      <c r="W810" s="170"/>
      <c r="X810" s="170"/>
      <c r="Y810" s="170"/>
      <c r="Z810" s="170"/>
    </row>
    <row r="811" ht="15.75" customHeight="1">
      <c r="A811" s="170"/>
      <c r="B811" s="170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0"/>
      <c r="V811" s="170"/>
      <c r="W811" s="170"/>
      <c r="X811" s="170"/>
      <c r="Y811" s="170"/>
      <c r="Z811" s="170"/>
    </row>
    <row r="812" ht="15.75" customHeight="1">
      <c r="A812" s="170"/>
      <c r="B812" s="170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0"/>
      <c r="V812" s="170"/>
      <c r="W812" s="170"/>
      <c r="X812" s="170"/>
      <c r="Y812" s="170"/>
      <c r="Z812" s="170"/>
    </row>
    <row r="813" ht="15.75" customHeight="1">
      <c r="A813" s="170"/>
      <c r="B813" s="170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0"/>
      <c r="V813" s="170"/>
      <c r="W813" s="170"/>
      <c r="X813" s="170"/>
      <c r="Y813" s="170"/>
      <c r="Z813" s="170"/>
    </row>
    <row r="814" ht="15.75" customHeight="1">
      <c r="A814" s="170"/>
      <c r="B814" s="170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0"/>
      <c r="V814" s="170"/>
      <c r="W814" s="170"/>
      <c r="X814" s="170"/>
      <c r="Y814" s="170"/>
      <c r="Z814" s="170"/>
    </row>
    <row r="815" ht="15.75" customHeight="1">
      <c r="A815" s="170"/>
      <c r="B815" s="170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0"/>
      <c r="V815" s="170"/>
      <c r="W815" s="170"/>
      <c r="X815" s="170"/>
      <c r="Y815" s="170"/>
      <c r="Z815" s="170"/>
    </row>
    <row r="816" ht="15.75" customHeight="1">
      <c r="A816" s="170"/>
      <c r="B816" s="170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0"/>
      <c r="V816" s="170"/>
      <c r="W816" s="170"/>
      <c r="X816" s="170"/>
      <c r="Y816" s="170"/>
      <c r="Z816" s="170"/>
    </row>
    <row r="817" ht="15.75" customHeight="1">
      <c r="A817" s="170"/>
      <c r="B817" s="170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0"/>
      <c r="V817" s="170"/>
      <c r="W817" s="170"/>
      <c r="X817" s="170"/>
      <c r="Y817" s="170"/>
      <c r="Z817" s="170"/>
    </row>
    <row r="818" ht="15.75" customHeight="1">
      <c r="A818" s="170"/>
      <c r="B818" s="170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0"/>
      <c r="V818" s="170"/>
      <c r="W818" s="170"/>
      <c r="X818" s="170"/>
      <c r="Y818" s="170"/>
      <c r="Z818" s="170"/>
    </row>
    <row r="819" ht="15.75" customHeight="1">
      <c r="A819" s="170"/>
      <c r="B819" s="170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0"/>
      <c r="V819" s="170"/>
      <c r="W819" s="170"/>
      <c r="X819" s="170"/>
      <c r="Y819" s="170"/>
      <c r="Z819" s="170"/>
    </row>
    <row r="820" ht="15.75" customHeight="1">
      <c r="A820" s="170"/>
      <c r="B820" s="170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0"/>
      <c r="V820" s="170"/>
      <c r="W820" s="170"/>
      <c r="X820" s="170"/>
      <c r="Y820" s="170"/>
      <c r="Z820" s="170"/>
    </row>
    <row r="821" ht="15.75" customHeight="1">
      <c r="A821" s="170"/>
      <c r="B821" s="170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0"/>
      <c r="V821" s="170"/>
      <c r="W821" s="170"/>
      <c r="X821" s="170"/>
      <c r="Y821" s="170"/>
      <c r="Z821" s="170"/>
    </row>
    <row r="822" ht="15.75" customHeight="1">
      <c r="A822" s="170"/>
      <c r="B822" s="170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0"/>
      <c r="V822" s="170"/>
      <c r="W822" s="170"/>
      <c r="X822" s="170"/>
      <c r="Y822" s="170"/>
      <c r="Z822" s="170"/>
    </row>
    <row r="823" ht="15.75" customHeight="1">
      <c r="A823" s="170"/>
      <c r="B823" s="170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0"/>
      <c r="V823" s="170"/>
      <c r="W823" s="170"/>
      <c r="X823" s="170"/>
      <c r="Y823" s="170"/>
      <c r="Z823" s="170"/>
    </row>
    <row r="824" ht="15.75" customHeight="1">
      <c r="A824" s="170"/>
      <c r="B824" s="170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0"/>
      <c r="V824" s="170"/>
      <c r="W824" s="170"/>
      <c r="X824" s="170"/>
      <c r="Y824" s="170"/>
      <c r="Z824" s="170"/>
    </row>
    <row r="825" ht="15.75" customHeight="1">
      <c r="A825" s="170"/>
      <c r="B825" s="170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0"/>
      <c r="V825" s="170"/>
      <c r="W825" s="170"/>
      <c r="X825" s="170"/>
      <c r="Y825" s="170"/>
      <c r="Z825" s="170"/>
    </row>
    <row r="826" ht="15.75" customHeight="1">
      <c r="A826" s="170"/>
      <c r="B826" s="170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0"/>
      <c r="V826" s="170"/>
      <c r="W826" s="170"/>
      <c r="X826" s="170"/>
      <c r="Y826" s="170"/>
      <c r="Z826" s="170"/>
    </row>
    <row r="827" ht="15.75" customHeight="1">
      <c r="A827" s="170"/>
      <c r="B827" s="170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0"/>
      <c r="V827" s="170"/>
      <c r="W827" s="170"/>
      <c r="X827" s="170"/>
      <c r="Y827" s="170"/>
      <c r="Z827" s="170"/>
    </row>
    <row r="828" ht="15.75" customHeight="1">
      <c r="A828" s="170"/>
      <c r="B828" s="170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0"/>
      <c r="V828" s="170"/>
      <c r="W828" s="170"/>
      <c r="X828" s="170"/>
      <c r="Y828" s="170"/>
      <c r="Z828" s="170"/>
    </row>
    <row r="829" ht="15.75" customHeight="1">
      <c r="A829" s="170"/>
      <c r="B829" s="170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0"/>
      <c r="V829" s="170"/>
      <c r="W829" s="170"/>
      <c r="X829" s="170"/>
      <c r="Y829" s="170"/>
      <c r="Z829" s="170"/>
    </row>
    <row r="830" ht="15.75" customHeight="1">
      <c r="A830" s="170"/>
      <c r="B830" s="170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0"/>
      <c r="V830" s="170"/>
      <c r="W830" s="170"/>
      <c r="X830" s="170"/>
      <c r="Y830" s="170"/>
      <c r="Z830" s="170"/>
    </row>
    <row r="831" ht="15.75" customHeight="1">
      <c r="A831" s="170"/>
      <c r="B831" s="170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0"/>
      <c r="V831" s="170"/>
      <c r="W831" s="170"/>
      <c r="X831" s="170"/>
      <c r="Y831" s="170"/>
      <c r="Z831" s="170"/>
    </row>
    <row r="832" ht="15.75" customHeight="1">
      <c r="A832" s="170"/>
      <c r="B832" s="170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0"/>
      <c r="V832" s="170"/>
      <c r="W832" s="170"/>
      <c r="X832" s="170"/>
      <c r="Y832" s="170"/>
      <c r="Z832" s="170"/>
    </row>
    <row r="833" ht="15.75" customHeight="1">
      <c r="A833" s="170"/>
      <c r="B833" s="170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0"/>
      <c r="V833" s="170"/>
      <c r="W833" s="170"/>
      <c r="X833" s="170"/>
      <c r="Y833" s="170"/>
      <c r="Z833" s="170"/>
    </row>
    <row r="834" ht="15.75" customHeight="1">
      <c r="A834" s="170"/>
      <c r="B834" s="170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0"/>
      <c r="V834" s="170"/>
      <c r="W834" s="170"/>
      <c r="X834" s="170"/>
      <c r="Y834" s="170"/>
      <c r="Z834" s="170"/>
    </row>
    <row r="835" ht="15.75" customHeight="1">
      <c r="A835" s="170"/>
      <c r="B835" s="170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0"/>
      <c r="V835" s="170"/>
      <c r="W835" s="170"/>
      <c r="X835" s="170"/>
      <c r="Y835" s="170"/>
      <c r="Z835" s="170"/>
    </row>
    <row r="836" ht="15.75" customHeight="1">
      <c r="A836" s="170"/>
      <c r="B836" s="170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0"/>
      <c r="V836" s="170"/>
      <c r="W836" s="170"/>
      <c r="X836" s="170"/>
      <c r="Y836" s="170"/>
      <c r="Z836" s="170"/>
    </row>
    <row r="837" ht="15.75" customHeight="1">
      <c r="A837" s="170"/>
      <c r="B837" s="170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0"/>
      <c r="V837" s="170"/>
      <c r="W837" s="170"/>
      <c r="X837" s="170"/>
      <c r="Y837" s="170"/>
      <c r="Z837" s="170"/>
    </row>
    <row r="838" ht="15.75" customHeight="1">
      <c r="A838" s="170"/>
      <c r="B838" s="170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0"/>
      <c r="V838" s="170"/>
      <c r="W838" s="170"/>
      <c r="X838" s="170"/>
      <c r="Y838" s="170"/>
      <c r="Z838" s="170"/>
    </row>
    <row r="839" ht="15.75" customHeight="1">
      <c r="A839" s="170"/>
      <c r="B839" s="170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</row>
    <row r="840" ht="15.75" customHeight="1">
      <c r="A840" s="170"/>
      <c r="B840" s="170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0"/>
      <c r="V840" s="170"/>
      <c r="W840" s="170"/>
      <c r="X840" s="170"/>
      <c r="Y840" s="170"/>
      <c r="Z840" s="170"/>
    </row>
    <row r="841" ht="15.75" customHeight="1">
      <c r="A841" s="170"/>
      <c r="B841" s="170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0"/>
      <c r="V841" s="170"/>
      <c r="W841" s="170"/>
      <c r="X841" s="170"/>
      <c r="Y841" s="170"/>
      <c r="Z841" s="170"/>
    </row>
    <row r="842" ht="15.75" customHeight="1">
      <c r="A842" s="170"/>
      <c r="B842" s="170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0"/>
      <c r="V842" s="170"/>
      <c r="W842" s="170"/>
      <c r="X842" s="170"/>
      <c r="Y842" s="170"/>
      <c r="Z842" s="170"/>
    </row>
    <row r="843" ht="15.75" customHeight="1">
      <c r="A843" s="170"/>
      <c r="B843" s="170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0"/>
      <c r="V843" s="170"/>
      <c r="W843" s="170"/>
      <c r="X843" s="170"/>
      <c r="Y843" s="170"/>
      <c r="Z843" s="170"/>
    </row>
    <row r="844" ht="15.75" customHeight="1">
      <c r="A844" s="170"/>
      <c r="B844" s="170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0"/>
      <c r="V844" s="170"/>
      <c r="W844" s="170"/>
      <c r="X844" s="170"/>
      <c r="Y844" s="170"/>
      <c r="Z844" s="170"/>
    </row>
    <row r="845" ht="15.75" customHeight="1">
      <c r="A845" s="170"/>
      <c r="B845" s="170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0"/>
      <c r="V845" s="170"/>
      <c r="W845" s="170"/>
      <c r="X845" s="170"/>
      <c r="Y845" s="170"/>
      <c r="Z845" s="170"/>
    </row>
    <row r="846" ht="15.75" customHeight="1">
      <c r="A846" s="170"/>
      <c r="B846" s="170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0"/>
      <c r="V846" s="170"/>
      <c r="W846" s="170"/>
      <c r="X846" s="170"/>
      <c r="Y846" s="170"/>
      <c r="Z846" s="170"/>
    </row>
    <row r="847" ht="15.75" customHeight="1">
      <c r="A847" s="170"/>
      <c r="B847" s="170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0"/>
      <c r="V847" s="170"/>
      <c r="W847" s="170"/>
      <c r="X847" s="170"/>
      <c r="Y847" s="170"/>
      <c r="Z847" s="170"/>
    </row>
    <row r="848" ht="15.75" customHeight="1">
      <c r="A848" s="170"/>
      <c r="B848" s="170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0"/>
      <c r="V848" s="170"/>
      <c r="W848" s="170"/>
      <c r="X848" s="170"/>
      <c r="Y848" s="170"/>
      <c r="Z848" s="170"/>
    </row>
    <row r="849" ht="15.75" customHeight="1">
      <c r="A849" s="170"/>
      <c r="B849" s="170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0"/>
      <c r="V849" s="170"/>
      <c r="W849" s="170"/>
      <c r="X849" s="170"/>
      <c r="Y849" s="170"/>
      <c r="Z849" s="170"/>
    </row>
    <row r="850" ht="15.75" customHeight="1">
      <c r="A850" s="170"/>
      <c r="B850" s="170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0"/>
      <c r="V850" s="170"/>
      <c r="W850" s="170"/>
      <c r="X850" s="170"/>
      <c r="Y850" s="170"/>
      <c r="Z850" s="170"/>
    </row>
    <row r="851" ht="15.75" customHeight="1">
      <c r="A851" s="170"/>
      <c r="B851" s="170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0"/>
      <c r="V851" s="170"/>
      <c r="W851" s="170"/>
      <c r="X851" s="170"/>
      <c r="Y851" s="170"/>
      <c r="Z851" s="170"/>
    </row>
    <row r="852" ht="15.75" customHeight="1">
      <c r="A852" s="170"/>
      <c r="B852" s="170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0"/>
      <c r="V852" s="170"/>
      <c r="W852" s="170"/>
      <c r="X852" s="170"/>
      <c r="Y852" s="170"/>
      <c r="Z852" s="170"/>
    </row>
    <row r="853" ht="15.75" customHeight="1">
      <c r="A853" s="170"/>
      <c r="B853" s="170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0"/>
      <c r="V853" s="170"/>
      <c r="W853" s="170"/>
      <c r="X853" s="170"/>
      <c r="Y853" s="170"/>
      <c r="Z853" s="170"/>
    </row>
    <row r="854" ht="15.75" customHeight="1">
      <c r="A854" s="170"/>
      <c r="B854" s="170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0"/>
      <c r="V854" s="170"/>
      <c r="W854" s="170"/>
      <c r="X854" s="170"/>
      <c r="Y854" s="170"/>
      <c r="Z854" s="170"/>
    </row>
    <row r="855" ht="15.75" customHeight="1">
      <c r="A855" s="170"/>
      <c r="B855" s="170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0"/>
      <c r="V855" s="170"/>
      <c r="W855" s="170"/>
      <c r="X855" s="170"/>
      <c r="Y855" s="170"/>
      <c r="Z855" s="170"/>
    </row>
    <row r="856" ht="15.75" customHeight="1">
      <c r="A856" s="170"/>
      <c r="B856" s="170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0"/>
      <c r="V856" s="170"/>
      <c r="W856" s="170"/>
      <c r="X856" s="170"/>
      <c r="Y856" s="170"/>
      <c r="Z856" s="170"/>
    </row>
    <row r="857" ht="15.75" customHeight="1">
      <c r="A857" s="170"/>
      <c r="B857" s="170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0"/>
      <c r="V857" s="170"/>
      <c r="W857" s="170"/>
      <c r="X857" s="170"/>
      <c r="Y857" s="170"/>
      <c r="Z857" s="170"/>
    </row>
    <row r="858" ht="15.75" customHeight="1">
      <c r="A858" s="170"/>
      <c r="B858" s="170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0"/>
      <c r="V858" s="170"/>
      <c r="W858" s="170"/>
      <c r="X858" s="170"/>
      <c r="Y858" s="170"/>
      <c r="Z858" s="170"/>
    </row>
    <row r="859" ht="15.75" customHeight="1">
      <c r="A859" s="170"/>
      <c r="B859" s="170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0"/>
      <c r="V859" s="170"/>
      <c r="W859" s="170"/>
      <c r="X859" s="170"/>
      <c r="Y859" s="170"/>
      <c r="Z859" s="170"/>
    </row>
    <row r="860" ht="15.75" customHeight="1">
      <c r="A860" s="170"/>
      <c r="B860" s="170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0"/>
      <c r="V860" s="170"/>
      <c r="W860" s="170"/>
      <c r="X860" s="170"/>
      <c r="Y860" s="170"/>
      <c r="Z860" s="170"/>
    </row>
    <row r="861" ht="15.75" customHeight="1">
      <c r="A861" s="170"/>
      <c r="B861" s="170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0"/>
      <c r="V861" s="170"/>
      <c r="W861" s="170"/>
      <c r="X861" s="170"/>
      <c r="Y861" s="170"/>
      <c r="Z861" s="170"/>
    </row>
    <row r="862" ht="15.75" customHeight="1">
      <c r="A862" s="170"/>
      <c r="B862" s="170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0"/>
      <c r="V862" s="170"/>
      <c r="W862" s="170"/>
      <c r="X862" s="170"/>
      <c r="Y862" s="170"/>
      <c r="Z862" s="170"/>
    </row>
    <row r="863" ht="15.75" customHeight="1">
      <c r="A863" s="170"/>
      <c r="B863" s="170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0"/>
      <c r="V863" s="170"/>
      <c r="W863" s="170"/>
      <c r="X863" s="170"/>
      <c r="Y863" s="170"/>
      <c r="Z863" s="170"/>
    </row>
    <row r="864" ht="15.75" customHeight="1">
      <c r="A864" s="170"/>
      <c r="B864" s="170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0"/>
      <c r="V864" s="170"/>
      <c r="W864" s="170"/>
      <c r="X864" s="170"/>
      <c r="Y864" s="170"/>
      <c r="Z864" s="170"/>
    </row>
    <row r="865" ht="15.75" customHeight="1">
      <c r="A865" s="170"/>
      <c r="B865" s="170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0"/>
      <c r="V865" s="170"/>
      <c r="W865" s="170"/>
      <c r="X865" s="170"/>
      <c r="Y865" s="170"/>
      <c r="Z865" s="170"/>
    </row>
    <row r="866" ht="15.75" customHeight="1">
      <c r="A866" s="170"/>
      <c r="B866" s="170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0"/>
      <c r="V866" s="170"/>
      <c r="W866" s="170"/>
      <c r="X866" s="170"/>
      <c r="Y866" s="170"/>
      <c r="Z866" s="170"/>
    </row>
    <row r="867" ht="15.75" customHeight="1">
      <c r="A867" s="170"/>
      <c r="B867" s="170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0"/>
      <c r="V867" s="170"/>
      <c r="W867" s="170"/>
      <c r="X867" s="170"/>
      <c r="Y867" s="170"/>
      <c r="Z867" s="170"/>
    </row>
    <row r="868" ht="15.75" customHeight="1">
      <c r="A868" s="170"/>
      <c r="B868" s="170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0"/>
      <c r="V868" s="170"/>
      <c r="W868" s="170"/>
      <c r="X868" s="170"/>
      <c r="Y868" s="170"/>
      <c r="Z868" s="170"/>
    </row>
    <row r="869" ht="15.75" customHeight="1">
      <c r="A869" s="170"/>
      <c r="B869" s="170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0"/>
      <c r="V869" s="170"/>
      <c r="W869" s="170"/>
      <c r="X869" s="170"/>
      <c r="Y869" s="170"/>
      <c r="Z869" s="170"/>
    </row>
    <row r="870" ht="15.75" customHeight="1">
      <c r="A870" s="170"/>
      <c r="B870" s="170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0"/>
      <c r="V870" s="170"/>
      <c r="W870" s="170"/>
      <c r="X870" s="170"/>
      <c r="Y870" s="170"/>
      <c r="Z870" s="170"/>
    </row>
    <row r="871" ht="15.75" customHeight="1">
      <c r="A871" s="170"/>
      <c r="B871" s="170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0"/>
      <c r="V871" s="170"/>
      <c r="W871" s="170"/>
      <c r="X871" s="170"/>
      <c r="Y871" s="170"/>
      <c r="Z871" s="170"/>
    </row>
    <row r="872" ht="15.75" customHeight="1">
      <c r="A872" s="170"/>
      <c r="B872" s="170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0"/>
      <c r="V872" s="170"/>
      <c r="W872" s="170"/>
      <c r="X872" s="170"/>
      <c r="Y872" s="170"/>
      <c r="Z872" s="170"/>
    </row>
    <row r="873" ht="15.75" customHeight="1">
      <c r="A873" s="170"/>
      <c r="B873" s="170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0"/>
      <c r="V873" s="170"/>
      <c r="W873" s="170"/>
      <c r="X873" s="170"/>
      <c r="Y873" s="170"/>
      <c r="Z873" s="170"/>
    </row>
    <row r="874" ht="15.75" customHeight="1">
      <c r="A874" s="170"/>
      <c r="B874" s="170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0"/>
      <c r="V874" s="170"/>
      <c r="W874" s="170"/>
      <c r="X874" s="170"/>
      <c r="Y874" s="170"/>
      <c r="Z874" s="170"/>
    </row>
    <row r="875" ht="15.75" customHeight="1">
      <c r="A875" s="170"/>
      <c r="B875" s="170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0"/>
      <c r="V875" s="170"/>
      <c r="W875" s="170"/>
      <c r="X875" s="170"/>
      <c r="Y875" s="170"/>
      <c r="Z875" s="170"/>
    </row>
    <row r="876" ht="15.75" customHeight="1">
      <c r="A876" s="170"/>
      <c r="B876" s="170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0"/>
      <c r="V876" s="170"/>
      <c r="W876" s="170"/>
      <c r="X876" s="170"/>
      <c r="Y876" s="170"/>
      <c r="Z876" s="170"/>
    </row>
    <row r="877" ht="15.75" customHeight="1">
      <c r="A877" s="170"/>
      <c r="B877" s="170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0"/>
      <c r="V877" s="170"/>
      <c r="W877" s="170"/>
      <c r="X877" s="170"/>
      <c r="Y877" s="170"/>
      <c r="Z877" s="170"/>
    </row>
    <row r="878" ht="15.75" customHeight="1">
      <c r="A878" s="170"/>
      <c r="B878" s="170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0"/>
      <c r="V878" s="170"/>
      <c r="W878" s="170"/>
      <c r="X878" s="170"/>
      <c r="Y878" s="170"/>
      <c r="Z878" s="170"/>
    </row>
    <row r="879" ht="15.75" customHeight="1">
      <c r="A879" s="170"/>
      <c r="B879" s="170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0"/>
      <c r="V879" s="170"/>
      <c r="W879" s="170"/>
      <c r="X879" s="170"/>
      <c r="Y879" s="170"/>
      <c r="Z879" s="170"/>
    </row>
    <row r="880" ht="15.75" customHeight="1">
      <c r="A880" s="170"/>
      <c r="B880" s="170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0"/>
      <c r="V880" s="170"/>
      <c r="W880" s="170"/>
      <c r="X880" s="170"/>
      <c r="Y880" s="170"/>
      <c r="Z880" s="170"/>
    </row>
    <row r="881" ht="15.75" customHeight="1">
      <c r="A881" s="170"/>
      <c r="B881" s="170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0"/>
      <c r="V881" s="170"/>
      <c r="W881" s="170"/>
      <c r="X881" s="170"/>
      <c r="Y881" s="170"/>
      <c r="Z881" s="170"/>
    </row>
    <row r="882" ht="15.75" customHeight="1">
      <c r="A882" s="170"/>
      <c r="B882" s="170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0"/>
      <c r="V882" s="170"/>
      <c r="W882" s="170"/>
      <c r="X882" s="170"/>
      <c r="Y882" s="170"/>
      <c r="Z882" s="170"/>
    </row>
    <row r="883" ht="15.75" customHeight="1">
      <c r="A883" s="170"/>
      <c r="B883" s="170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0"/>
      <c r="V883" s="170"/>
      <c r="W883" s="170"/>
      <c r="X883" s="170"/>
      <c r="Y883" s="170"/>
      <c r="Z883" s="170"/>
    </row>
    <row r="884" ht="15.75" customHeight="1">
      <c r="A884" s="170"/>
      <c r="B884" s="170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0"/>
      <c r="V884" s="170"/>
      <c r="W884" s="170"/>
      <c r="X884" s="170"/>
      <c r="Y884" s="170"/>
      <c r="Z884" s="170"/>
    </row>
    <row r="885" ht="15.75" customHeight="1">
      <c r="A885" s="170"/>
      <c r="B885" s="170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0"/>
      <c r="V885" s="170"/>
      <c r="W885" s="170"/>
      <c r="X885" s="170"/>
      <c r="Y885" s="170"/>
      <c r="Z885" s="170"/>
    </row>
    <row r="886" ht="15.75" customHeight="1">
      <c r="A886" s="170"/>
      <c r="B886" s="170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0"/>
      <c r="V886" s="170"/>
      <c r="W886" s="170"/>
      <c r="X886" s="170"/>
      <c r="Y886" s="170"/>
      <c r="Z886" s="170"/>
    </row>
    <row r="887" ht="15.75" customHeight="1">
      <c r="A887" s="170"/>
      <c r="B887" s="170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0"/>
      <c r="V887" s="170"/>
      <c r="W887" s="170"/>
      <c r="X887" s="170"/>
      <c r="Y887" s="170"/>
      <c r="Z887" s="170"/>
    </row>
    <row r="888" ht="15.75" customHeight="1">
      <c r="A888" s="170"/>
      <c r="B888" s="170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0"/>
      <c r="V888" s="170"/>
      <c r="W888" s="170"/>
      <c r="X888" s="170"/>
      <c r="Y888" s="170"/>
      <c r="Z888" s="170"/>
    </row>
    <row r="889" ht="15.75" customHeight="1">
      <c r="A889" s="170"/>
      <c r="B889" s="170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0"/>
      <c r="V889" s="170"/>
      <c r="W889" s="170"/>
      <c r="X889" s="170"/>
      <c r="Y889" s="170"/>
      <c r="Z889" s="170"/>
    </row>
    <row r="890" ht="15.75" customHeight="1">
      <c r="A890" s="170"/>
      <c r="B890" s="170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0"/>
      <c r="V890" s="170"/>
      <c r="W890" s="170"/>
      <c r="X890" s="170"/>
      <c r="Y890" s="170"/>
      <c r="Z890" s="170"/>
    </row>
    <row r="891" ht="15.75" customHeight="1">
      <c r="A891" s="170"/>
      <c r="B891" s="170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</row>
    <row r="892" ht="15.75" customHeight="1">
      <c r="A892" s="170"/>
      <c r="B892" s="170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0"/>
      <c r="V892" s="170"/>
      <c r="W892" s="170"/>
      <c r="X892" s="170"/>
      <c r="Y892" s="170"/>
      <c r="Z892" s="170"/>
    </row>
    <row r="893" ht="15.75" customHeight="1">
      <c r="A893" s="170"/>
      <c r="B893" s="170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</row>
    <row r="894" ht="15.75" customHeight="1">
      <c r="A894" s="170"/>
      <c r="B894" s="170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0"/>
      <c r="V894" s="170"/>
      <c r="W894" s="170"/>
      <c r="X894" s="170"/>
      <c r="Y894" s="170"/>
      <c r="Z894" s="170"/>
    </row>
    <row r="895" ht="15.75" customHeight="1">
      <c r="A895" s="170"/>
      <c r="B895" s="170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0"/>
      <c r="V895" s="170"/>
      <c r="W895" s="170"/>
      <c r="X895" s="170"/>
      <c r="Y895" s="170"/>
      <c r="Z895" s="170"/>
    </row>
    <row r="896" ht="15.75" customHeight="1">
      <c r="A896" s="170"/>
      <c r="B896" s="170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0"/>
      <c r="V896" s="170"/>
      <c r="W896" s="170"/>
      <c r="X896" s="170"/>
      <c r="Y896" s="170"/>
      <c r="Z896" s="170"/>
    </row>
    <row r="897" ht="15.75" customHeight="1">
      <c r="A897" s="170"/>
      <c r="B897" s="170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0"/>
      <c r="V897" s="170"/>
      <c r="W897" s="170"/>
      <c r="X897" s="170"/>
      <c r="Y897" s="170"/>
      <c r="Z897" s="170"/>
    </row>
    <row r="898" ht="15.75" customHeight="1">
      <c r="A898" s="170"/>
      <c r="B898" s="170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0"/>
      <c r="V898" s="170"/>
      <c r="W898" s="170"/>
      <c r="X898" s="170"/>
      <c r="Y898" s="170"/>
      <c r="Z898" s="170"/>
    </row>
    <row r="899" ht="15.75" customHeight="1">
      <c r="A899" s="170"/>
      <c r="B899" s="170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0"/>
      <c r="V899" s="170"/>
      <c r="W899" s="170"/>
      <c r="X899" s="170"/>
      <c r="Y899" s="170"/>
      <c r="Z899" s="170"/>
    </row>
    <row r="900" ht="15.75" customHeight="1">
      <c r="A900" s="170"/>
      <c r="B900" s="170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0"/>
      <c r="V900" s="170"/>
      <c r="W900" s="170"/>
      <c r="X900" s="170"/>
      <c r="Y900" s="170"/>
      <c r="Z900" s="170"/>
    </row>
    <row r="901" ht="15.75" customHeight="1">
      <c r="A901" s="170"/>
      <c r="B901" s="170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0"/>
      <c r="V901" s="170"/>
      <c r="W901" s="170"/>
      <c r="X901" s="170"/>
      <c r="Y901" s="170"/>
      <c r="Z901" s="170"/>
    </row>
    <row r="902" ht="15.75" customHeight="1">
      <c r="A902" s="170"/>
      <c r="B902" s="170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0"/>
      <c r="V902" s="170"/>
      <c r="W902" s="170"/>
      <c r="X902" s="170"/>
      <c r="Y902" s="170"/>
      <c r="Z902" s="170"/>
    </row>
    <row r="903" ht="15.75" customHeight="1">
      <c r="A903" s="170"/>
      <c r="B903" s="170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0"/>
      <c r="V903" s="170"/>
      <c r="W903" s="170"/>
      <c r="X903" s="170"/>
      <c r="Y903" s="170"/>
      <c r="Z903" s="170"/>
    </row>
    <row r="904" ht="15.75" customHeight="1">
      <c r="A904" s="170"/>
      <c r="B904" s="170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0"/>
      <c r="V904" s="170"/>
      <c r="W904" s="170"/>
      <c r="X904" s="170"/>
      <c r="Y904" s="170"/>
      <c r="Z904" s="170"/>
    </row>
    <row r="905" ht="15.75" customHeight="1">
      <c r="A905" s="170"/>
      <c r="B905" s="170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0"/>
      <c r="V905" s="170"/>
      <c r="W905" s="170"/>
      <c r="X905" s="170"/>
      <c r="Y905" s="170"/>
      <c r="Z905" s="170"/>
    </row>
    <row r="906" ht="15.75" customHeight="1">
      <c r="A906" s="170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</row>
    <row r="907" ht="15.75" customHeight="1">
      <c r="A907" s="170"/>
      <c r="B907" s="170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0"/>
      <c r="V907" s="170"/>
      <c r="W907" s="170"/>
      <c r="X907" s="170"/>
      <c r="Y907" s="170"/>
      <c r="Z907" s="170"/>
    </row>
    <row r="908" ht="15.75" customHeight="1">
      <c r="A908" s="170"/>
      <c r="B908" s="170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0"/>
      <c r="V908" s="170"/>
      <c r="W908" s="170"/>
      <c r="X908" s="170"/>
      <c r="Y908" s="170"/>
      <c r="Z908" s="170"/>
    </row>
    <row r="909" ht="15.75" customHeight="1">
      <c r="A909" s="170"/>
      <c r="B909" s="170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0"/>
      <c r="V909" s="170"/>
      <c r="W909" s="170"/>
      <c r="X909" s="170"/>
      <c r="Y909" s="170"/>
      <c r="Z909" s="170"/>
    </row>
    <row r="910" ht="15.75" customHeight="1">
      <c r="A910" s="170"/>
      <c r="B910" s="170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0"/>
      <c r="V910" s="170"/>
      <c r="W910" s="170"/>
      <c r="X910" s="170"/>
      <c r="Y910" s="170"/>
      <c r="Z910" s="170"/>
    </row>
    <row r="911" ht="15.75" customHeight="1">
      <c r="A911" s="170"/>
      <c r="B911" s="170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0"/>
      <c r="V911" s="170"/>
      <c r="W911" s="170"/>
      <c r="X911" s="170"/>
      <c r="Y911" s="170"/>
      <c r="Z911" s="170"/>
    </row>
    <row r="912" ht="15.75" customHeight="1">
      <c r="A912" s="170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</row>
    <row r="913" ht="15.75" customHeight="1">
      <c r="A913" s="170"/>
      <c r="B913" s="170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0"/>
      <c r="V913" s="170"/>
      <c r="W913" s="170"/>
      <c r="X913" s="170"/>
      <c r="Y913" s="170"/>
      <c r="Z913" s="170"/>
    </row>
    <row r="914" ht="15.75" customHeight="1">
      <c r="A914" s="170"/>
      <c r="B914" s="170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0"/>
      <c r="V914" s="170"/>
      <c r="W914" s="170"/>
      <c r="X914" s="170"/>
      <c r="Y914" s="170"/>
      <c r="Z914" s="170"/>
    </row>
    <row r="915" ht="15.75" customHeight="1">
      <c r="A915" s="170"/>
      <c r="B915" s="170"/>
      <c r="C915" s="170"/>
      <c r="D915" s="170"/>
      <c r="E915" s="170"/>
      <c r="F915" s="170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0"/>
      <c r="V915" s="170"/>
      <c r="W915" s="170"/>
      <c r="X915" s="170"/>
      <c r="Y915" s="170"/>
      <c r="Z915" s="170"/>
    </row>
    <row r="916" ht="15.75" customHeight="1">
      <c r="A916" s="170"/>
      <c r="B916" s="170"/>
      <c r="C916" s="170"/>
      <c r="D916" s="170"/>
      <c r="E916" s="170"/>
      <c r="F916" s="170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0"/>
      <c r="V916" s="170"/>
      <c r="W916" s="170"/>
      <c r="X916" s="170"/>
      <c r="Y916" s="170"/>
      <c r="Z916" s="170"/>
    </row>
    <row r="917" ht="15.75" customHeight="1">
      <c r="A917" s="170"/>
      <c r="B917" s="170"/>
      <c r="C917" s="170"/>
      <c r="D917" s="170"/>
      <c r="E917" s="170"/>
      <c r="F917" s="170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0"/>
      <c r="V917" s="170"/>
      <c r="W917" s="170"/>
      <c r="X917" s="170"/>
      <c r="Y917" s="170"/>
      <c r="Z917" s="170"/>
    </row>
    <row r="918" ht="15.75" customHeight="1">
      <c r="A918" s="170"/>
      <c r="B918" s="170"/>
      <c r="C918" s="170"/>
      <c r="D918" s="170"/>
      <c r="E918" s="170"/>
      <c r="F918" s="170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0"/>
      <c r="V918" s="170"/>
      <c r="W918" s="170"/>
      <c r="X918" s="170"/>
      <c r="Y918" s="170"/>
      <c r="Z918" s="170"/>
    </row>
    <row r="919" ht="15.75" customHeight="1">
      <c r="A919" s="170"/>
      <c r="B919" s="170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0"/>
      <c r="V919" s="170"/>
      <c r="W919" s="170"/>
      <c r="X919" s="170"/>
      <c r="Y919" s="170"/>
      <c r="Z919" s="170"/>
    </row>
    <row r="920" ht="15.75" customHeight="1">
      <c r="A920" s="170"/>
      <c r="B920" s="170"/>
      <c r="C920" s="170"/>
      <c r="D920" s="170"/>
      <c r="E920" s="170"/>
      <c r="F920" s="170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0"/>
      <c r="V920" s="170"/>
      <c r="W920" s="170"/>
      <c r="X920" s="170"/>
      <c r="Y920" s="170"/>
      <c r="Z920" s="170"/>
    </row>
    <row r="921" ht="15.75" customHeight="1">
      <c r="A921" s="170"/>
      <c r="B921" s="170"/>
      <c r="C921" s="170"/>
      <c r="D921" s="170"/>
      <c r="E921" s="170"/>
      <c r="F921" s="170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0"/>
      <c r="V921" s="170"/>
      <c r="W921" s="170"/>
      <c r="X921" s="170"/>
      <c r="Y921" s="170"/>
      <c r="Z921" s="170"/>
    </row>
    <row r="922" ht="15.75" customHeight="1">
      <c r="A922" s="170"/>
      <c r="B922" s="170"/>
      <c r="C922" s="170"/>
      <c r="D922" s="170"/>
      <c r="E922" s="170"/>
      <c r="F922" s="170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0"/>
      <c r="V922" s="170"/>
      <c r="W922" s="170"/>
      <c r="X922" s="170"/>
      <c r="Y922" s="170"/>
      <c r="Z922" s="170"/>
    </row>
    <row r="923" ht="15.75" customHeight="1">
      <c r="A923" s="170"/>
      <c r="B923" s="170"/>
      <c r="C923" s="170"/>
      <c r="D923" s="170"/>
      <c r="E923" s="170"/>
      <c r="F923" s="170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0"/>
      <c r="V923" s="170"/>
      <c r="W923" s="170"/>
      <c r="X923" s="170"/>
      <c r="Y923" s="170"/>
      <c r="Z923" s="170"/>
    </row>
    <row r="924" ht="15.75" customHeight="1">
      <c r="A924" s="170"/>
      <c r="B924" s="170"/>
      <c r="C924" s="170"/>
      <c r="D924" s="170"/>
      <c r="E924" s="170"/>
      <c r="F924" s="170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0"/>
      <c r="V924" s="170"/>
      <c r="W924" s="170"/>
      <c r="X924" s="170"/>
      <c r="Y924" s="170"/>
      <c r="Z924" s="170"/>
    </row>
    <row r="925" ht="15.75" customHeight="1">
      <c r="A925" s="170"/>
      <c r="B925" s="170"/>
      <c r="C925" s="170"/>
      <c r="D925" s="170"/>
      <c r="E925" s="170"/>
      <c r="F925" s="170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0"/>
      <c r="V925" s="170"/>
      <c r="W925" s="170"/>
      <c r="X925" s="170"/>
      <c r="Y925" s="170"/>
      <c r="Z925" s="170"/>
    </row>
    <row r="926" ht="15.75" customHeight="1">
      <c r="A926" s="170"/>
      <c r="B926" s="170"/>
      <c r="C926" s="170"/>
      <c r="D926" s="170"/>
      <c r="E926" s="170"/>
      <c r="F926" s="170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0"/>
      <c r="V926" s="170"/>
      <c r="W926" s="170"/>
      <c r="X926" s="170"/>
      <c r="Y926" s="170"/>
      <c r="Z926" s="170"/>
    </row>
    <row r="927" ht="15.75" customHeight="1">
      <c r="A927" s="170"/>
      <c r="B927" s="170"/>
      <c r="C927" s="170"/>
      <c r="D927" s="170"/>
      <c r="E927" s="170"/>
      <c r="F927" s="170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0"/>
      <c r="V927" s="170"/>
      <c r="W927" s="170"/>
      <c r="X927" s="170"/>
      <c r="Y927" s="170"/>
      <c r="Z927" s="170"/>
    </row>
    <row r="928" ht="15.75" customHeight="1">
      <c r="A928" s="170"/>
      <c r="B928" s="170"/>
      <c r="C928" s="170"/>
      <c r="D928" s="170"/>
      <c r="E928" s="170"/>
      <c r="F928" s="170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0"/>
      <c r="V928" s="170"/>
      <c r="W928" s="170"/>
      <c r="X928" s="170"/>
      <c r="Y928" s="170"/>
      <c r="Z928" s="170"/>
    </row>
    <row r="929" ht="15.75" customHeight="1">
      <c r="A929" s="170"/>
      <c r="B929" s="170"/>
      <c r="C929" s="170"/>
      <c r="D929" s="170"/>
      <c r="E929" s="170"/>
      <c r="F929" s="170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0"/>
      <c r="V929" s="170"/>
      <c r="W929" s="170"/>
      <c r="X929" s="170"/>
      <c r="Y929" s="170"/>
      <c r="Z929" s="170"/>
    </row>
    <row r="930" ht="15.75" customHeight="1">
      <c r="A930" s="170"/>
      <c r="B930" s="170"/>
      <c r="C930" s="170"/>
      <c r="D930" s="170"/>
      <c r="E930" s="170"/>
      <c r="F930" s="170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0"/>
      <c r="V930" s="170"/>
      <c r="W930" s="170"/>
      <c r="X930" s="170"/>
      <c r="Y930" s="170"/>
      <c r="Z930" s="170"/>
    </row>
    <row r="931" ht="15.75" customHeight="1">
      <c r="A931" s="170"/>
      <c r="B931" s="170"/>
      <c r="C931" s="170"/>
      <c r="D931" s="170"/>
      <c r="E931" s="170"/>
      <c r="F931" s="170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0"/>
      <c r="V931" s="170"/>
      <c r="W931" s="170"/>
      <c r="X931" s="170"/>
      <c r="Y931" s="170"/>
      <c r="Z931" s="170"/>
    </row>
    <row r="932" ht="15.75" customHeight="1">
      <c r="A932" s="170"/>
      <c r="B932" s="170"/>
      <c r="C932" s="170"/>
      <c r="D932" s="170"/>
      <c r="E932" s="170"/>
      <c r="F932" s="170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0"/>
      <c r="V932" s="170"/>
      <c r="W932" s="170"/>
      <c r="X932" s="170"/>
      <c r="Y932" s="170"/>
      <c r="Z932" s="170"/>
    </row>
    <row r="933" ht="15.75" customHeight="1">
      <c r="A933" s="170"/>
      <c r="B933" s="170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0"/>
      <c r="V933" s="170"/>
      <c r="W933" s="170"/>
      <c r="X933" s="170"/>
      <c r="Y933" s="170"/>
      <c r="Z933" s="170"/>
    </row>
    <row r="934" ht="15.75" customHeight="1">
      <c r="A934" s="170"/>
      <c r="B934" s="170"/>
      <c r="C934" s="170"/>
      <c r="D934" s="170"/>
      <c r="E934" s="170"/>
      <c r="F934" s="170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0"/>
      <c r="V934" s="170"/>
      <c r="W934" s="170"/>
      <c r="X934" s="170"/>
      <c r="Y934" s="170"/>
      <c r="Z934" s="170"/>
    </row>
    <row r="935" ht="15.75" customHeight="1">
      <c r="A935" s="170"/>
      <c r="B935" s="170"/>
      <c r="C935" s="170"/>
      <c r="D935" s="170"/>
      <c r="E935" s="170"/>
      <c r="F935" s="170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0"/>
      <c r="V935" s="170"/>
      <c r="W935" s="170"/>
      <c r="X935" s="170"/>
      <c r="Y935" s="170"/>
      <c r="Z935" s="170"/>
    </row>
    <row r="936" ht="15.75" customHeight="1">
      <c r="A936" s="170"/>
      <c r="B936" s="170"/>
      <c r="C936" s="170"/>
      <c r="D936" s="170"/>
      <c r="E936" s="170"/>
      <c r="F936" s="170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0"/>
      <c r="V936" s="170"/>
      <c r="W936" s="170"/>
      <c r="X936" s="170"/>
      <c r="Y936" s="170"/>
      <c r="Z936" s="170"/>
    </row>
    <row r="937" ht="15.75" customHeight="1">
      <c r="A937" s="170"/>
      <c r="B937" s="170"/>
      <c r="C937" s="170"/>
      <c r="D937" s="170"/>
      <c r="E937" s="170"/>
      <c r="F937" s="170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0"/>
      <c r="V937" s="170"/>
      <c r="W937" s="170"/>
      <c r="X937" s="170"/>
      <c r="Y937" s="170"/>
      <c r="Z937" s="170"/>
    </row>
    <row r="938" ht="15.75" customHeight="1">
      <c r="A938" s="170"/>
      <c r="B938" s="170"/>
      <c r="C938" s="170"/>
      <c r="D938" s="170"/>
      <c r="E938" s="170"/>
      <c r="F938" s="170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0"/>
      <c r="V938" s="170"/>
      <c r="W938" s="170"/>
      <c r="X938" s="170"/>
      <c r="Y938" s="170"/>
      <c r="Z938" s="170"/>
    </row>
    <row r="939" ht="15.75" customHeight="1">
      <c r="A939" s="170"/>
      <c r="B939" s="170"/>
      <c r="C939" s="170"/>
      <c r="D939" s="170"/>
      <c r="E939" s="170"/>
      <c r="F939" s="170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0"/>
      <c r="V939" s="170"/>
      <c r="W939" s="170"/>
      <c r="X939" s="170"/>
      <c r="Y939" s="170"/>
      <c r="Z939" s="170"/>
    </row>
    <row r="940" ht="15.75" customHeight="1">
      <c r="A940" s="170"/>
      <c r="B940" s="170"/>
      <c r="C940" s="170"/>
      <c r="D940" s="170"/>
      <c r="E940" s="170"/>
      <c r="F940" s="170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0"/>
      <c r="V940" s="170"/>
      <c r="W940" s="170"/>
      <c r="X940" s="170"/>
      <c r="Y940" s="170"/>
      <c r="Z940" s="170"/>
    </row>
    <row r="941" ht="15.75" customHeight="1">
      <c r="A941" s="170"/>
      <c r="B941" s="170"/>
      <c r="C941" s="170"/>
      <c r="D941" s="170"/>
      <c r="E941" s="170"/>
      <c r="F941" s="170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0"/>
      <c r="V941" s="170"/>
      <c r="W941" s="170"/>
      <c r="X941" s="170"/>
      <c r="Y941" s="170"/>
      <c r="Z941" s="170"/>
    </row>
    <row r="942" ht="15.75" customHeight="1">
      <c r="A942" s="170"/>
      <c r="B942" s="170"/>
      <c r="C942" s="170"/>
      <c r="D942" s="170"/>
      <c r="E942" s="170"/>
      <c r="F942" s="170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0"/>
      <c r="V942" s="170"/>
      <c r="W942" s="170"/>
      <c r="X942" s="170"/>
      <c r="Y942" s="170"/>
      <c r="Z942" s="170"/>
    </row>
    <row r="943" ht="15.75" customHeight="1">
      <c r="A943" s="170"/>
      <c r="B943" s="170"/>
      <c r="C943" s="170"/>
      <c r="D943" s="170"/>
      <c r="E943" s="170"/>
      <c r="F943" s="170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0"/>
      <c r="V943" s="170"/>
      <c r="W943" s="170"/>
      <c r="X943" s="170"/>
      <c r="Y943" s="170"/>
      <c r="Z943" s="170"/>
    </row>
    <row r="944" ht="15.75" customHeight="1">
      <c r="A944" s="170"/>
      <c r="B944" s="170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0"/>
      <c r="V944" s="170"/>
      <c r="W944" s="170"/>
      <c r="X944" s="170"/>
      <c r="Y944" s="170"/>
      <c r="Z944" s="170"/>
    </row>
    <row r="945" ht="15.75" customHeight="1">
      <c r="A945" s="170"/>
      <c r="B945" s="170"/>
      <c r="C945" s="170"/>
      <c r="D945" s="170"/>
      <c r="E945" s="170"/>
      <c r="F945" s="170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0"/>
      <c r="V945" s="170"/>
      <c r="W945" s="170"/>
      <c r="X945" s="170"/>
      <c r="Y945" s="170"/>
      <c r="Z945" s="170"/>
    </row>
    <row r="946" ht="15.75" customHeight="1">
      <c r="A946" s="170"/>
      <c r="B946" s="170"/>
      <c r="C946" s="170"/>
      <c r="D946" s="170"/>
      <c r="E946" s="170"/>
      <c r="F946" s="170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0"/>
      <c r="V946" s="170"/>
      <c r="W946" s="170"/>
      <c r="X946" s="170"/>
      <c r="Y946" s="170"/>
      <c r="Z946" s="170"/>
    </row>
    <row r="947" ht="15.75" customHeight="1">
      <c r="A947" s="170"/>
      <c r="B947" s="170"/>
      <c r="C947" s="170"/>
      <c r="D947" s="170"/>
      <c r="E947" s="170"/>
      <c r="F947" s="170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0"/>
      <c r="V947" s="170"/>
      <c r="W947" s="170"/>
      <c r="X947" s="170"/>
      <c r="Y947" s="170"/>
      <c r="Z947" s="170"/>
    </row>
    <row r="948" ht="15.75" customHeight="1">
      <c r="A948" s="170"/>
      <c r="B948" s="170"/>
      <c r="C948" s="170"/>
      <c r="D948" s="170"/>
      <c r="E948" s="170"/>
      <c r="F948" s="170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0"/>
      <c r="V948" s="170"/>
      <c r="W948" s="170"/>
      <c r="X948" s="170"/>
      <c r="Y948" s="170"/>
      <c r="Z948" s="170"/>
    </row>
    <row r="949" ht="15.75" customHeight="1">
      <c r="A949" s="170"/>
      <c r="B949" s="170"/>
      <c r="C949" s="170"/>
      <c r="D949" s="170"/>
      <c r="E949" s="170"/>
      <c r="F949" s="170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0"/>
      <c r="V949" s="170"/>
      <c r="W949" s="170"/>
      <c r="X949" s="170"/>
      <c r="Y949" s="170"/>
      <c r="Z949" s="170"/>
    </row>
    <row r="950" ht="15.75" customHeight="1">
      <c r="A950" s="170"/>
      <c r="B950" s="170"/>
      <c r="C950" s="170"/>
      <c r="D950" s="170"/>
      <c r="E950" s="170"/>
      <c r="F950" s="170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0"/>
      <c r="V950" s="170"/>
      <c r="W950" s="170"/>
      <c r="X950" s="170"/>
      <c r="Y950" s="170"/>
      <c r="Z950" s="170"/>
    </row>
    <row r="951" ht="15.75" customHeight="1">
      <c r="A951" s="170"/>
      <c r="B951" s="170"/>
      <c r="C951" s="170"/>
      <c r="D951" s="170"/>
      <c r="E951" s="170"/>
      <c r="F951" s="170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0"/>
      <c r="V951" s="170"/>
      <c r="W951" s="170"/>
      <c r="X951" s="170"/>
      <c r="Y951" s="170"/>
      <c r="Z951" s="170"/>
    </row>
    <row r="952" ht="15.75" customHeight="1">
      <c r="A952" s="170"/>
      <c r="B952" s="170"/>
      <c r="C952" s="170"/>
      <c r="D952" s="170"/>
      <c r="E952" s="170"/>
      <c r="F952" s="170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0"/>
      <c r="V952" s="170"/>
      <c r="W952" s="170"/>
      <c r="X952" s="170"/>
      <c r="Y952" s="170"/>
      <c r="Z952" s="170"/>
    </row>
    <row r="953" ht="15.75" customHeight="1">
      <c r="A953" s="170"/>
      <c r="B953" s="170"/>
      <c r="C953" s="170"/>
      <c r="D953" s="170"/>
      <c r="E953" s="170"/>
      <c r="F953" s="170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0"/>
      <c r="V953" s="170"/>
      <c r="W953" s="170"/>
      <c r="X953" s="170"/>
      <c r="Y953" s="170"/>
      <c r="Z953" s="170"/>
    </row>
    <row r="954" ht="15.75" customHeight="1">
      <c r="A954" s="170"/>
      <c r="B954" s="170"/>
      <c r="C954" s="170"/>
      <c r="D954" s="170"/>
      <c r="E954" s="170"/>
      <c r="F954" s="170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0"/>
      <c r="V954" s="170"/>
      <c r="W954" s="170"/>
      <c r="X954" s="170"/>
      <c r="Y954" s="170"/>
      <c r="Z954" s="170"/>
    </row>
    <row r="955" ht="15.75" customHeight="1">
      <c r="A955" s="170"/>
      <c r="B955" s="170"/>
      <c r="C955" s="170"/>
      <c r="D955" s="170"/>
      <c r="E955" s="170"/>
      <c r="F955" s="170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0"/>
      <c r="V955" s="170"/>
      <c r="W955" s="170"/>
      <c r="X955" s="170"/>
      <c r="Y955" s="170"/>
      <c r="Z955" s="170"/>
    </row>
    <row r="956" ht="15.75" customHeight="1">
      <c r="A956" s="170"/>
      <c r="B956" s="170"/>
      <c r="C956" s="170"/>
      <c r="D956" s="170"/>
      <c r="E956" s="170"/>
      <c r="F956" s="170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0"/>
      <c r="V956" s="170"/>
      <c r="W956" s="170"/>
      <c r="X956" s="170"/>
      <c r="Y956" s="170"/>
      <c r="Z956" s="170"/>
    </row>
    <row r="957" ht="15.75" customHeight="1">
      <c r="A957" s="170"/>
      <c r="B957" s="170"/>
      <c r="C957" s="170"/>
      <c r="D957" s="170"/>
      <c r="E957" s="170"/>
      <c r="F957" s="170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0"/>
      <c r="V957" s="170"/>
      <c r="W957" s="170"/>
      <c r="X957" s="170"/>
      <c r="Y957" s="170"/>
      <c r="Z957" s="170"/>
    </row>
    <row r="958" ht="15.75" customHeight="1">
      <c r="A958" s="170"/>
      <c r="B958" s="170"/>
      <c r="C958" s="170"/>
      <c r="D958" s="170"/>
      <c r="E958" s="170"/>
      <c r="F958" s="170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0"/>
      <c r="V958" s="170"/>
      <c r="W958" s="170"/>
      <c r="X958" s="170"/>
      <c r="Y958" s="170"/>
      <c r="Z958" s="170"/>
    </row>
    <row r="959" ht="15.75" customHeight="1">
      <c r="A959" s="170"/>
      <c r="B959" s="170"/>
      <c r="C959" s="170"/>
      <c r="D959" s="170"/>
      <c r="E959" s="170"/>
      <c r="F959" s="170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0"/>
      <c r="V959" s="170"/>
      <c r="W959" s="170"/>
      <c r="X959" s="170"/>
      <c r="Y959" s="170"/>
      <c r="Z959" s="170"/>
    </row>
    <row r="960" ht="15.75" customHeight="1">
      <c r="A960" s="170"/>
      <c r="B960" s="170"/>
      <c r="C960" s="170"/>
      <c r="D960" s="170"/>
      <c r="E960" s="170"/>
      <c r="F960" s="170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0"/>
      <c r="V960" s="170"/>
      <c r="W960" s="170"/>
      <c r="X960" s="170"/>
      <c r="Y960" s="170"/>
      <c r="Z960" s="170"/>
    </row>
    <row r="961" ht="15.75" customHeight="1">
      <c r="A961" s="170"/>
      <c r="B961" s="170"/>
      <c r="C961" s="170"/>
      <c r="D961" s="170"/>
      <c r="E961" s="170"/>
      <c r="F961" s="170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0"/>
      <c r="V961" s="170"/>
      <c r="W961" s="170"/>
      <c r="X961" s="170"/>
      <c r="Y961" s="170"/>
      <c r="Z961" s="170"/>
    </row>
    <row r="962" ht="15.75" customHeight="1">
      <c r="A962" s="170"/>
      <c r="B962" s="170"/>
      <c r="C962" s="170"/>
      <c r="D962" s="170"/>
      <c r="E962" s="170"/>
      <c r="F962" s="170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0"/>
      <c r="V962" s="170"/>
      <c r="W962" s="170"/>
      <c r="X962" s="170"/>
      <c r="Y962" s="170"/>
      <c r="Z962" s="170"/>
    </row>
    <row r="963" ht="15.75" customHeight="1">
      <c r="A963" s="170"/>
      <c r="B963" s="170"/>
      <c r="C963" s="170"/>
      <c r="D963" s="170"/>
      <c r="E963" s="170"/>
      <c r="F963" s="170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0"/>
      <c r="V963" s="170"/>
      <c r="W963" s="170"/>
      <c r="X963" s="170"/>
      <c r="Y963" s="170"/>
      <c r="Z963" s="170"/>
    </row>
    <row r="964" ht="15.75" customHeight="1">
      <c r="A964" s="170"/>
      <c r="B964" s="170"/>
      <c r="C964" s="170"/>
      <c r="D964" s="170"/>
      <c r="E964" s="170"/>
      <c r="F964" s="170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0"/>
      <c r="V964" s="170"/>
      <c r="W964" s="170"/>
      <c r="X964" s="170"/>
      <c r="Y964" s="170"/>
      <c r="Z964" s="170"/>
    </row>
    <row r="965" ht="15.75" customHeight="1">
      <c r="A965" s="170"/>
      <c r="B965" s="170"/>
      <c r="C965" s="170"/>
      <c r="D965" s="170"/>
      <c r="E965" s="170"/>
      <c r="F965" s="170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0"/>
      <c r="V965" s="170"/>
      <c r="W965" s="170"/>
      <c r="X965" s="170"/>
      <c r="Y965" s="170"/>
      <c r="Z965" s="170"/>
    </row>
    <row r="966" ht="15.75" customHeight="1">
      <c r="A966" s="170"/>
      <c r="B966" s="170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0"/>
      <c r="V966" s="170"/>
      <c r="W966" s="170"/>
      <c r="X966" s="170"/>
      <c r="Y966" s="170"/>
      <c r="Z966" s="170"/>
    </row>
    <row r="967" ht="15.75" customHeight="1">
      <c r="A967" s="170"/>
      <c r="B967" s="170"/>
      <c r="C967" s="170"/>
      <c r="D967" s="170"/>
      <c r="E967" s="170"/>
      <c r="F967" s="170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0"/>
      <c r="V967" s="170"/>
      <c r="W967" s="170"/>
      <c r="X967" s="170"/>
      <c r="Y967" s="170"/>
      <c r="Z967" s="170"/>
    </row>
    <row r="968" ht="15.75" customHeight="1">
      <c r="A968" s="170"/>
      <c r="B968" s="170"/>
      <c r="C968" s="170"/>
      <c r="D968" s="170"/>
      <c r="E968" s="170"/>
      <c r="F968" s="170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0"/>
      <c r="V968" s="170"/>
      <c r="W968" s="170"/>
      <c r="X968" s="170"/>
      <c r="Y968" s="170"/>
      <c r="Z968" s="170"/>
    </row>
    <row r="969" ht="15.75" customHeight="1">
      <c r="A969" s="170"/>
      <c r="B969" s="170"/>
      <c r="C969" s="170"/>
      <c r="D969" s="170"/>
      <c r="E969" s="170"/>
      <c r="F969" s="170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0"/>
      <c r="V969" s="170"/>
      <c r="W969" s="170"/>
      <c r="X969" s="170"/>
      <c r="Y969" s="170"/>
      <c r="Z969" s="170"/>
    </row>
    <row r="970" ht="15.75" customHeight="1">
      <c r="A970" s="170"/>
      <c r="B970" s="170"/>
      <c r="C970" s="170"/>
      <c r="D970" s="170"/>
      <c r="E970" s="170"/>
      <c r="F970" s="170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0"/>
      <c r="V970" s="170"/>
      <c r="W970" s="170"/>
      <c r="X970" s="170"/>
      <c r="Y970" s="170"/>
      <c r="Z970" s="170"/>
    </row>
    <row r="971" ht="15.75" customHeight="1">
      <c r="A971" s="170"/>
      <c r="B971" s="170"/>
      <c r="C971" s="170"/>
      <c r="D971" s="170"/>
      <c r="E971" s="170"/>
      <c r="F971" s="170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0"/>
      <c r="V971" s="170"/>
      <c r="W971" s="170"/>
      <c r="X971" s="170"/>
      <c r="Y971" s="170"/>
      <c r="Z971" s="170"/>
    </row>
    <row r="972" ht="15.75" customHeight="1">
      <c r="A972" s="170"/>
      <c r="B972" s="170"/>
      <c r="C972" s="170"/>
      <c r="D972" s="170"/>
      <c r="E972" s="170"/>
      <c r="F972" s="170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0"/>
      <c r="V972" s="170"/>
      <c r="W972" s="170"/>
      <c r="X972" s="170"/>
      <c r="Y972" s="170"/>
      <c r="Z972" s="170"/>
    </row>
    <row r="973" ht="15.75" customHeight="1">
      <c r="A973" s="170"/>
      <c r="B973" s="170"/>
      <c r="C973" s="170"/>
      <c r="D973" s="170"/>
      <c r="E973" s="170"/>
      <c r="F973" s="170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0"/>
      <c r="V973" s="170"/>
      <c r="W973" s="170"/>
      <c r="X973" s="170"/>
      <c r="Y973" s="170"/>
      <c r="Z973" s="170"/>
    </row>
    <row r="974" ht="15.75" customHeight="1">
      <c r="A974" s="170"/>
      <c r="B974" s="170"/>
      <c r="C974" s="170"/>
      <c r="D974" s="170"/>
      <c r="E974" s="170"/>
      <c r="F974" s="170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0"/>
      <c r="V974" s="170"/>
      <c r="W974" s="170"/>
      <c r="X974" s="170"/>
      <c r="Y974" s="170"/>
      <c r="Z974" s="170"/>
    </row>
    <row r="975" ht="15.75" customHeight="1">
      <c r="A975" s="170"/>
      <c r="B975" s="170"/>
      <c r="C975" s="170"/>
      <c r="D975" s="170"/>
      <c r="E975" s="170"/>
      <c r="F975" s="170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0"/>
      <c r="V975" s="170"/>
      <c r="W975" s="170"/>
      <c r="X975" s="170"/>
      <c r="Y975" s="170"/>
      <c r="Z975" s="170"/>
    </row>
    <row r="976" ht="15.75" customHeight="1">
      <c r="A976" s="170"/>
      <c r="B976" s="170"/>
      <c r="C976" s="170"/>
      <c r="D976" s="170"/>
      <c r="E976" s="170"/>
      <c r="F976" s="170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0"/>
      <c r="V976" s="170"/>
      <c r="W976" s="170"/>
      <c r="X976" s="170"/>
      <c r="Y976" s="170"/>
      <c r="Z976" s="170"/>
    </row>
    <row r="977" ht="15.75" customHeight="1">
      <c r="A977" s="170"/>
      <c r="B977" s="170"/>
      <c r="C977" s="170"/>
      <c r="D977" s="170"/>
      <c r="E977" s="170"/>
      <c r="F977" s="170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0"/>
      <c r="V977" s="170"/>
      <c r="W977" s="170"/>
      <c r="X977" s="170"/>
      <c r="Y977" s="170"/>
      <c r="Z977" s="170"/>
    </row>
    <row r="978" ht="15.75" customHeight="1">
      <c r="A978" s="170"/>
      <c r="B978" s="170"/>
      <c r="C978" s="170"/>
      <c r="D978" s="170"/>
      <c r="E978" s="170"/>
      <c r="F978" s="170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0"/>
      <c r="V978" s="170"/>
      <c r="W978" s="170"/>
      <c r="X978" s="170"/>
      <c r="Y978" s="170"/>
      <c r="Z978" s="170"/>
    </row>
    <row r="979" ht="15.75" customHeight="1">
      <c r="A979" s="170"/>
      <c r="B979" s="170"/>
      <c r="C979" s="170"/>
      <c r="D979" s="170"/>
      <c r="E979" s="170"/>
      <c r="F979" s="170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0"/>
      <c r="V979" s="170"/>
      <c r="W979" s="170"/>
      <c r="X979" s="170"/>
      <c r="Y979" s="170"/>
      <c r="Z979" s="170"/>
    </row>
    <row r="980" ht="15.75" customHeight="1">
      <c r="A980" s="170"/>
      <c r="B980" s="170"/>
      <c r="C980" s="170"/>
      <c r="D980" s="170"/>
      <c r="E980" s="170"/>
      <c r="F980" s="170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0"/>
      <c r="V980" s="170"/>
      <c r="W980" s="170"/>
      <c r="X980" s="170"/>
      <c r="Y980" s="170"/>
      <c r="Z980" s="170"/>
    </row>
    <row r="981" ht="15.75" customHeight="1">
      <c r="A981" s="170"/>
      <c r="B981" s="170"/>
      <c r="C981" s="170"/>
      <c r="D981" s="170"/>
      <c r="E981" s="170"/>
      <c r="F981" s="170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0"/>
      <c r="V981" s="170"/>
      <c r="W981" s="170"/>
      <c r="X981" s="170"/>
      <c r="Y981" s="170"/>
      <c r="Z981" s="170"/>
    </row>
    <row r="982" ht="15.75" customHeight="1">
      <c r="A982" s="170"/>
      <c r="B982" s="170"/>
      <c r="C982" s="170"/>
      <c r="D982" s="170"/>
      <c r="E982" s="170"/>
      <c r="F982" s="170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0"/>
      <c r="V982" s="170"/>
      <c r="W982" s="170"/>
      <c r="X982" s="170"/>
      <c r="Y982" s="170"/>
      <c r="Z982" s="170"/>
    </row>
    <row r="983" ht="15.75" customHeight="1">
      <c r="A983" s="170"/>
      <c r="B983" s="170"/>
      <c r="C983" s="170"/>
      <c r="D983" s="170"/>
      <c r="E983" s="170"/>
      <c r="F983" s="170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0"/>
      <c r="V983" s="170"/>
      <c r="W983" s="170"/>
      <c r="X983" s="170"/>
      <c r="Y983" s="170"/>
      <c r="Z983" s="170"/>
    </row>
    <row r="984" ht="15.75" customHeight="1">
      <c r="A984" s="170"/>
      <c r="B984" s="170"/>
      <c r="C984" s="170"/>
      <c r="D984" s="170"/>
      <c r="E984" s="170"/>
      <c r="F984" s="170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0"/>
      <c r="V984" s="170"/>
      <c r="W984" s="170"/>
      <c r="X984" s="170"/>
      <c r="Y984" s="170"/>
      <c r="Z984" s="170"/>
    </row>
    <row r="985" ht="15.75" customHeight="1">
      <c r="A985" s="170"/>
      <c r="B985" s="170"/>
      <c r="C985" s="170"/>
      <c r="D985" s="170"/>
      <c r="E985" s="170"/>
      <c r="F985" s="170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0"/>
      <c r="V985" s="170"/>
      <c r="W985" s="170"/>
      <c r="X985" s="170"/>
      <c r="Y985" s="170"/>
      <c r="Z985" s="170"/>
    </row>
    <row r="986" ht="15.75" customHeight="1">
      <c r="A986" s="170"/>
      <c r="B986" s="170"/>
      <c r="C986" s="170"/>
      <c r="D986" s="170"/>
      <c r="E986" s="170"/>
      <c r="F986" s="170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0"/>
      <c r="V986" s="170"/>
      <c r="W986" s="170"/>
      <c r="X986" s="170"/>
      <c r="Y986" s="170"/>
      <c r="Z986" s="170"/>
    </row>
    <row r="987" ht="15.75" customHeight="1">
      <c r="A987" s="170"/>
      <c r="B987" s="170"/>
      <c r="C987" s="170"/>
      <c r="D987" s="170"/>
      <c r="E987" s="170"/>
      <c r="F987" s="170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0"/>
      <c r="V987" s="170"/>
      <c r="W987" s="170"/>
      <c r="X987" s="170"/>
      <c r="Y987" s="170"/>
      <c r="Z987" s="170"/>
    </row>
    <row r="988" ht="15.75" customHeight="1">
      <c r="A988" s="170"/>
      <c r="B988" s="170"/>
      <c r="C988" s="170"/>
      <c r="D988" s="170"/>
      <c r="E988" s="170"/>
      <c r="F988" s="170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0"/>
      <c r="V988" s="170"/>
      <c r="W988" s="170"/>
      <c r="X988" s="170"/>
      <c r="Y988" s="170"/>
      <c r="Z988" s="170"/>
    </row>
    <row r="989" ht="15.75" customHeight="1">
      <c r="A989" s="170"/>
      <c r="B989" s="170"/>
      <c r="C989" s="170"/>
      <c r="D989" s="170"/>
      <c r="E989" s="170"/>
      <c r="F989" s="170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0"/>
      <c r="V989" s="170"/>
      <c r="W989" s="170"/>
      <c r="X989" s="170"/>
      <c r="Y989" s="170"/>
      <c r="Z989" s="170"/>
    </row>
    <row r="990" ht="15.75" customHeight="1">
      <c r="A990" s="170"/>
      <c r="B990" s="170"/>
      <c r="C990" s="170"/>
      <c r="D990" s="170"/>
      <c r="E990" s="170"/>
      <c r="F990" s="170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0"/>
      <c r="V990" s="170"/>
      <c r="W990" s="170"/>
      <c r="X990" s="170"/>
      <c r="Y990" s="170"/>
      <c r="Z990" s="170"/>
    </row>
    <row r="991" ht="15.75" customHeight="1">
      <c r="A991" s="170"/>
      <c r="B991" s="170"/>
      <c r="C991" s="170"/>
      <c r="D991" s="170"/>
      <c r="E991" s="170"/>
      <c r="F991" s="170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0"/>
      <c r="V991" s="170"/>
      <c r="W991" s="170"/>
      <c r="X991" s="170"/>
      <c r="Y991" s="170"/>
      <c r="Z991" s="170"/>
    </row>
    <row r="992" ht="15.75" customHeight="1">
      <c r="A992" s="170"/>
      <c r="B992" s="170"/>
      <c r="C992" s="170"/>
      <c r="D992" s="170"/>
      <c r="E992" s="170"/>
      <c r="F992" s="170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0"/>
      <c r="V992" s="170"/>
      <c r="W992" s="170"/>
      <c r="X992" s="170"/>
      <c r="Y992" s="170"/>
      <c r="Z992" s="170"/>
    </row>
    <row r="993" ht="15.75" customHeight="1">
      <c r="A993" s="170"/>
      <c r="B993" s="170"/>
      <c r="C993" s="170"/>
      <c r="D993" s="170"/>
      <c r="E993" s="170"/>
      <c r="F993" s="170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0"/>
      <c r="V993" s="170"/>
      <c r="W993" s="170"/>
      <c r="X993" s="170"/>
      <c r="Y993" s="170"/>
      <c r="Z993" s="170"/>
    </row>
    <row r="994" ht="15.75" customHeight="1">
      <c r="A994" s="170"/>
      <c r="B994" s="170"/>
      <c r="C994" s="170"/>
      <c r="D994" s="170"/>
      <c r="E994" s="170"/>
      <c r="F994" s="170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0"/>
      <c r="V994" s="170"/>
      <c r="W994" s="170"/>
      <c r="X994" s="170"/>
      <c r="Y994" s="170"/>
      <c r="Z994" s="170"/>
    </row>
    <row r="995" ht="15.75" customHeight="1">
      <c r="A995" s="170"/>
      <c r="B995" s="170"/>
      <c r="C995" s="170"/>
      <c r="D995" s="170"/>
      <c r="E995" s="170"/>
      <c r="F995" s="170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0"/>
      <c r="V995" s="170"/>
      <c r="W995" s="170"/>
      <c r="X995" s="170"/>
      <c r="Y995" s="170"/>
      <c r="Z995" s="170"/>
    </row>
    <row r="996" ht="15.75" customHeight="1">
      <c r="A996" s="170"/>
      <c r="B996" s="170"/>
      <c r="C996" s="170"/>
      <c r="D996" s="170"/>
      <c r="E996" s="170"/>
      <c r="F996" s="170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170"/>
      <c r="S996" s="170"/>
      <c r="T996" s="170"/>
      <c r="U996" s="170"/>
      <c r="V996" s="170"/>
      <c r="W996" s="170"/>
      <c r="X996" s="170"/>
      <c r="Y996" s="170"/>
      <c r="Z996" s="170"/>
    </row>
    <row r="997" ht="15.75" customHeight="1">
      <c r="A997" s="170"/>
      <c r="B997" s="170"/>
      <c r="C997" s="170"/>
      <c r="D997" s="170"/>
      <c r="E997" s="170"/>
      <c r="F997" s="170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170"/>
      <c r="S997" s="170"/>
      <c r="T997" s="170"/>
      <c r="U997" s="170"/>
      <c r="V997" s="170"/>
      <c r="W997" s="170"/>
      <c r="X997" s="170"/>
      <c r="Y997" s="170"/>
      <c r="Z997" s="170"/>
    </row>
    <row r="998" ht="15.75" customHeight="1">
      <c r="A998" s="170"/>
      <c r="B998" s="170"/>
      <c r="C998" s="170"/>
      <c r="D998" s="170"/>
      <c r="E998" s="170"/>
      <c r="F998" s="170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170"/>
      <c r="S998" s="170"/>
      <c r="T998" s="170"/>
      <c r="U998" s="170"/>
      <c r="V998" s="170"/>
      <c r="W998" s="170"/>
      <c r="X998" s="170"/>
      <c r="Y998" s="170"/>
      <c r="Z998" s="170"/>
    </row>
    <row r="999" ht="15.75" customHeight="1">
      <c r="A999" s="170"/>
      <c r="B999" s="170"/>
      <c r="C999" s="170"/>
      <c r="D999" s="170"/>
      <c r="E999" s="170"/>
      <c r="F999" s="170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170"/>
      <c r="S999" s="170"/>
      <c r="T999" s="170"/>
      <c r="U999" s="170"/>
      <c r="V999" s="170"/>
      <c r="W999" s="170"/>
      <c r="X999" s="170"/>
      <c r="Y999" s="170"/>
      <c r="Z999" s="170"/>
    </row>
  </sheetData>
  <autoFilter ref="$A$1:$I$58"/>
  <dataValidations>
    <dataValidation type="list" allowBlank="1" showErrorMessage="1" sqref="D2:D52">
      <formula1>"Buy to Open,Buy to Add,Sell to Trim,Sell to Close"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33.5"/>
    <col customWidth="1" min="3" max="3" width="18.88"/>
    <col customWidth="1" min="4" max="11" width="14.63"/>
  </cols>
  <sheetData>
    <row r="1" ht="15.0" customHeight="1">
      <c r="A1" s="195" t="s">
        <v>267</v>
      </c>
      <c r="B1" s="196" t="s">
        <v>1</v>
      </c>
      <c r="C1" s="196" t="s">
        <v>61</v>
      </c>
      <c r="D1" s="196" t="s">
        <v>248</v>
      </c>
      <c r="E1" s="196" t="s">
        <v>63</v>
      </c>
      <c r="F1" s="197" t="s">
        <v>249</v>
      </c>
      <c r="G1" s="198" t="s">
        <v>250</v>
      </c>
      <c r="H1" s="199" t="s">
        <v>251</v>
      </c>
      <c r="I1" s="200" t="s">
        <v>252</v>
      </c>
    </row>
    <row r="2" ht="15.75" customHeight="1">
      <c r="A2" s="91" t="s">
        <v>97</v>
      </c>
      <c r="B2" s="23" t="str">
        <f>IFERROR(__xludf.DUMMYFUNCTION("GOOGLEFINANCE(A2,""NAME"")"),"Philip Morris International Inc.")</f>
        <v>Philip Morris International Inc.</v>
      </c>
      <c r="C2" s="177" t="s">
        <v>74</v>
      </c>
      <c r="D2" s="177" t="s">
        <v>261</v>
      </c>
      <c r="E2" s="177">
        <v>-21.0</v>
      </c>
      <c r="F2" s="177">
        <v>165.87</v>
      </c>
      <c r="G2" s="201">
        <v>45898.0</v>
      </c>
      <c r="H2" s="19">
        <f>IF(OR(D2="Sell to Trim", D2="Sell to Close"),F2/VLOOKUP(A2, 'Sector Holdings'!$B$3:$M$121, 11, FALSE) - 1, "N/A")</f>
        <v>0.8301886792</v>
      </c>
      <c r="I2" s="71">
        <f t="shared" ref="I2:I44" si="1">F2*E2*-1</f>
        <v>3483.27</v>
      </c>
    </row>
    <row r="3" ht="15.0" customHeight="1">
      <c r="A3" s="91" t="s">
        <v>165</v>
      </c>
      <c r="B3" s="23" t="str">
        <f>IFERROR(__xludf.DUMMYFUNCTION("GOOGLEFINANCE(A3,""NAME"")"),"Sprouts Farmers Market Inc")</f>
        <v>Sprouts Farmers Market Inc</v>
      </c>
      <c r="C3" s="177" t="s">
        <v>74</v>
      </c>
      <c r="D3" s="177" t="s">
        <v>261</v>
      </c>
      <c r="E3" s="177">
        <v>-26.0</v>
      </c>
      <c r="F3" s="177">
        <v>140.0</v>
      </c>
      <c r="G3" s="201">
        <v>45898.0</v>
      </c>
      <c r="H3" s="19">
        <f>IF(OR(D3="Sell to Trim", D3="Sell to Close"),F3/VLOOKUP(A3, 'Sector Holdings'!$B$3:$M$121, 11, FALSE) - 1, "N/A")</f>
        <v>2.241491086</v>
      </c>
      <c r="I3" s="71">
        <f t="shared" si="1"/>
        <v>3640</v>
      </c>
    </row>
    <row r="4" ht="15.0" customHeight="1">
      <c r="A4" s="91" t="s">
        <v>134</v>
      </c>
      <c r="B4" s="23" t="str">
        <f>IFERROR(__xludf.DUMMYFUNCTION("GOOGLEFINANCE(A4,""NAME"")"),"Constellation Energy Corp")</f>
        <v>Constellation Energy Corp</v>
      </c>
      <c r="C4" s="177" t="s">
        <v>77</v>
      </c>
      <c r="D4" s="177" t="s">
        <v>261</v>
      </c>
      <c r="E4" s="177">
        <v>-4.0</v>
      </c>
      <c r="F4" s="177">
        <v>307.0</v>
      </c>
      <c r="G4" s="201">
        <v>45898.0</v>
      </c>
      <c r="H4" s="19">
        <f>IF(OR(D4="Sell to Trim", D4="Sell to Close"),F4/VLOOKUP(A4, 'Sector Holdings'!$B$3:$M$121, 11, FALSE) - 1, "N/A")</f>
        <v>2.461495095</v>
      </c>
      <c r="I4" s="71">
        <f t="shared" si="1"/>
        <v>1228</v>
      </c>
    </row>
    <row r="5" ht="15.0" customHeight="1">
      <c r="A5" s="91" t="s">
        <v>99</v>
      </c>
      <c r="B5" s="23" t="str">
        <f>IFERROR(__xludf.DUMMYFUNCTION("GOOGLEFINANCE(A5,""NAME"")"),"Diamondback Energy Inc")</f>
        <v>Diamondback Energy Inc</v>
      </c>
      <c r="C5" s="177" t="s">
        <v>77</v>
      </c>
      <c r="D5" s="177" t="s">
        <v>260</v>
      </c>
      <c r="E5" s="177">
        <v>11.0</v>
      </c>
      <c r="F5" s="177">
        <v>149.03</v>
      </c>
      <c r="G5" s="201">
        <v>45898.0</v>
      </c>
      <c r="H5" s="19" t="str">
        <f>IF(OR(D5="Sell to Trim", D5="Sell to Close"),F5/VLOOKUP(A5, 'Sector Holdings'!$B$3:$M$121, 11, FALSE) - 1, "N/A")</f>
        <v>N/A</v>
      </c>
      <c r="I5" s="71">
        <f t="shared" si="1"/>
        <v>-1639.33</v>
      </c>
    </row>
    <row r="6" ht="15.0" customHeight="1">
      <c r="A6" s="91" t="s">
        <v>98</v>
      </c>
      <c r="B6" s="23" t="str">
        <f>IFERROR(__xludf.DUMMYFUNCTION("GOOGLEFINANCE(A6,""NAME"")"),"Cheniere Energy Inc")</f>
        <v>Cheniere Energy Inc</v>
      </c>
      <c r="C6" s="177" t="s">
        <v>77</v>
      </c>
      <c r="D6" s="177" t="s">
        <v>260</v>
      </c>
      <c r="E6" s="177">
        <v>8.0</v>
      </c>
      <c r="F6" s="177">
        <v>243.26</v>
      </c>
      <c r="G6" s="201">
        <v>45898.0</v>
      </c>
      <c r="H6" s="19" t="str">
        <f>IF(OR(D6="Sell to Trim", D6="Sell to Close"),F6/VLOOKUP(A6, 'Sector Holdings'!$B$3:$M$121, 11, FALSE) - 1, "N/A")</f>
        <v>N/A</v>
      </c>
      <c r="I6" s="71">
        <f t="shared" si="1"/>
        <v>-1946.08</v>
      </c>
    </row>
    <row r="7" ht="15.0" customHeight="1">
      <c r="A7" s="91" t="s">
        <v>177</v>
      </c>
      <c r="B7" s="23" t="str">
        <f>IFERROR(__xludf.DUMMYFUNCTION("GOOGLEFINANCE(A7,""NAME"")"),"Fiserv Inc")</f>
        <v>Fiserv Inc</v>
      </c>
      <c r="C7" s="177" t="s">
        <v>79</v>
      </c>
      <c r="D7" s="177" t="s">
        <v>260</v>
      </c>
      <c r="E7" s="177">
        <v>13.0</v>
      </c>
      <c r="F7" s="177">
        <v>138.0</v>
      </c>
      <c r="G7" s="201">
        <v>45898.0</v>
      </c>
      <c r="H7" s="19" t="str">
        <f>IF(OR(D7="Sell to Trim", D7="Sell to Close"),F7/VLOOKUP(A7, 'Sector Holdings'!$B$3:$M$121, 11, FALSE) - 1, "N/A")</f>
        <v>N/A</v>
      </c>
      <c r="I7" s="71">
        <f t="shared" si="1"/>
        <v>-1794</v>
      </c>
    </row>
    <row r="8" ht="15.0" customHeight="1">
      <c r="A8" s="91" t="s">
        <v>268</v>
      </c>
      <c r="B8" s="23" t="str">
        <f>IFERROR(__xludf.DUMMYFUNCTION("GOOGLEFINANCE(A8,""NAME"")"),"Alcon AG")</f>
        <v>Alcon AG</v>
      </c>
      <c r="C8" s="177" t="s">
        <v>81</v>
      </c>
      <c r="D8" s="177" t="s">
        <v>260</v>
      </c>
      <c r="E8" s="177">
        <v>62.0</v>
      </c>
      <c r="F8" s="177">
        <v>80.06</v>
      </c>
      <c r="G8" s="201">
        <v>45898.0</v>
      </c>
      <c r="H8" s="19" t="str">
        <f>IF(OR(D8="Sell to Trim", D8="Sell to Close"),G8/VLOOKUP(A8, 'Sector Holdings'!$B$3:$M$121, 11, FALSE) - 1, "N/A")</f>
        <v>N/A</v>
      </c>
      <c r="I8" s="71">
        <f t="shared" si="1"/>
        <v>-4963.72</v>
      </c>
    </row>
    <row r="9" ht="15.0" customHeight="1">
      <c r="A9" s="91" t="s">
        <v>196</v>
      </c>
      <c r="B9" s="23" t="str">
        <f>IFERROR(__xludf.DUMMYFUNCTION("GOOGLEFINANCE(A9,""NAME"")"),"Royalty Pharma plc")</f>
        <v>Royalty Pharma plc</v>
      </c>
      <c r="C9" s="177" t="s">
        <v>81</v>
      </c>
      <c r="D9" s="177" t="s">
        <v>260</v>
      </c>
      <c r="E9" s="177">
        <v>141.0</v>
      </c>
      <c r="F9" s="177">
        <v>35.84</v>
      </c>
      <c r="G9" s="201">
        <v>45898.0</v>
      </c>
      <c r="H9" s="19" t="str">
        <f>IF(OR(D9="Sell to Trim", D9="Sell to Close"),F9/VLOOKUP(A9, 'Sector Holdings'!$B$3:$M$121, 11, FALSE) - 1, "N/A")</f>
        <v>N/A</v>
      </c>
      <c r="I9" s="71">
        <f t="shared" si="1"/>
        <v>-5053.44</v>
      </c>
    </row>
    <row r="10" ht="15.0" customHeight="1">
      <c r="A10" s="91" t="s">
        <v>109</v>
      </c>
      <c r="B10" s="23" t="str">
        <f>IFERROR(__xludf.DUMMYFUNCTION("GOOGLEFINANCE(A10,""NAME"")"),"Thermo Fisher Scientific Inc")</f>
        <v>Thermo Fisher Scientific Inc</v>
      </c>
      <c r="C10" s="177" t="s">
        <v>81</v>
      </c>
      <c r="D10" s="177" t="s">
        <v>260</v>
      </c>
      <c r="E10" s="177">
        <v>10.0</v>
      </c>
      <c r="F10" s="177">
        <v>493.35</v>
      </c>
      <c r="G10" s="201">
        <v>45898.0</v>
      </c>
      <c r="H10" s="19" t="str">
        <f>IF(OR(D10="Sell to Trim", D10="Sell to Close"),F10/VLOOKUP(A10, 'Sector Holdings'!$B$3:$M$121, 11, FALSE) - 1, "N/A")</f>
        <v>N/A</v>
      </c>
      <c r="I10" s="71">
        <f t="shared" si="1"/>
        <v>-4933.5</v>
      </c>
    </row>
    <row r="11" ht="15.0" customHeight="1">
      <c r="A11" s="91" t="s">
        <v>110</v>
      </c>
      <c r="B11" s="23" t="str">
        <f>IFERROR(__xludf.DUMMYFUNCTION("GOOGLEFINANCE(A11,""NAME"")"),"UnitedHealth Group Inc")</f>
        <v>UnitedHealth Group Inc</v>
      </c>
      <c r="C11" s="177" t="s">
        <v>81</v>
      </c>
      <c r="D11" s="177" t="s">
        <v>260</v>
      </c>
      <c r="E11" s="177">
        <v>16.0</v>
      </c>
      <c r="F11" s="177">
        <v>305.44</v>
      </c>
      <c r="G11" s="201">
        <v>45898.0</v>
      </c>
      <c r="H11" s="19" t="str">
        <f>IF(OR(D11="Sell to Trim", D11="Sell to Close"),F11/VLOOKUP(A11, 'Sector Holdings'!$B$3:$M$121, 11, FALSE) - 1, "N/A")</f>
        <v>N/A</v>
      </c>
      <c r="I11" s="71">
        <f t="shared" si="1"/>
        <v>-4887.04</v>
      </c>
    </row>
    <row r="12" ht="15.0" customHeight="1">
      <c r="A12" s="91" t="s">
        <v>112</v>
      </c>
      <c r="B12" s="23" t="str">
        <f>IFERROR(__xludf.DUMMYFUNCTION("GOOGLEFINANCE(A12,""NAME"")"),"Veeva Systems Inc")</f>
        <v>Veeva Systems Inc</v>
      </c>
      <c r="C12" s="177" t="s">
        <v>81</v>
      </c>
      <c r="D12" s="177" t="s">
        <v>260</v>
      </c>
      <c r="E12" s="177">
        <v>19.0</v>
      </c>
      <c r="F12" s="177">
        <v>267.6</v>
      </c>
      <c r="G12" s="201">
        <v>45898.0</v>
      </c>
      <c r="H12" s="19" t="str">
        <f>IF(OR(D12="Sell to Trim", D12="Sell to Close"),F12/VLOOKUP(A12, 'Sector Holdings'!$B$3:$M$121, 11, FALSE) - 1, "N/A")</f>
        <v>N/A</v>
      </c>
      <c r="I12" s="71">
        <f t="shared" si="1"/>
        <v>-5084.4</v>
      </c>
    </row>
    <row r="13" ht="15.0" customHeight="1">
      <c r="A13" s="91" t="s">
        <v>114</v>
      </c>
      <c r="B13" s="23" t="str">
        <f>IFERROR(__xludf.DUMMYFUNCTION("GOOGLEFINANCE(A13,""NAME"")"),"Air Products and Chemicals Inc")</f>
        <v>Air Products and Chemicals Inc</v>
      </c>
      <c r="C13" s="177" t="s">
        <v>83</v>
      </c>
      <c r="D13" s="177" t="s">
        <v>261</v>
      </c>
      <c r="E13" s="177">
        <v>-36.0</v>
      </c>
      <c r="F13" s="177">
        <v>294.15</v>
      </c>
      <c r="G13" s="201">
        <v>45898.0</v>
      </c>
      <c r="H13" s="19">
        <f>IF(OR(D13="Sell to Trim", D13="Sell to Close"),F13/VLOOKUP(A13, 'Sector Holdings'!$B$3:$M$121, 11, FALSE) - 1, "N/A")</f>
        <v>0.2589957766</v>
      </c>
      <c r="I13" s="71">
        <f t="shared" si="1"/>
        <v>10589.4</v>
      </c>
    </row>
    <row r="14" ht="15.0" customHeight="1">
      <c r="A14" s="91" t="s">
        <v>203</v>
      </c>
      <c r="B14" s="23" t="str">
        <f>IFERROR(__xludf.DUMMYFUNCTION("GOOGLEFINANCE(A14,""NAME"")"),"General Electric Co")</f>
        <v>General Electric Co</v>
      </c>
      <c r="C14" s="177" t="s">
        <v>83</v>
      </c>
      <c r="D14" s="177" t="s">
        <v>261</v>
      </c>
      <c r="E14" s="177">
        <v>-13.0</v>
      </c>
      <c r="F14" s="177">
        <v>274.68</v>
      </c>
      <c r="G14" s="201">
        <v>45898.0</v>
      </c>
      <c r="H14" s="19">
        <f>IF(OR(D14="Sell to Trim", D14="Sell to Close"),F14/VLOOKUP(A14, 'Sector Holdings'!$B$3:$M$121, 11, FALSE) - 1, "N/A")</f>
        <v>0.7777311199</v>
      </c>
      <c r="I14" s="71">
        <f t="shared" si="1"/>
        <v>3570.84</v>
      </c>
    </row>
    <row r="15" ht="15.0" customHeight="1">
      <c r="A15" s="91" t="s">
        <v>115</v>
      </c>
      <c r="B15" s="23" t="str">
        <f>IFERROR(__xludf.DUMMYFUNCTION("GOOGLEFINANCE(A15,""NAME"")"),"United Rentals Inc")</f>
        <v>United Rentals Inc</v>
      </c>
      <c r="C15" s="177" t="s">
        <v>83</v>
      </c>
      <c r="D15" s="177" t="s">
        <v>261</v>
      </c>
      <c r="E15" s="177">
        <v>-3.0</v>
      </c>
      <c r="F15" s="177">
        <v>952.2</v>
      </c>
      <c r="G15" s="201">
        <v>45898.0</v>
      </c>
      <c r="H15" s="19" t="str">
        <f>IF(OR(D15="Sell to Trim", D15="Sell to Close"),F15/VLOOKUP(A15, 'Sector Holdings'!$B$3:$M$121, 11, FALSE) - 1, "N/A")</f>
        <v>#N/A</v>
      </c>
      <c r="I15" s="71">
        <f t="shared" si="1"/>
        <v>2856.6</v>
      </c>
    </row>
    <row r="16" ht="15.0" customHeight="1">
      <c r="A16" s="91" t="s">
        <v>223</v>
      </c>
      <c r="B16" s="23" t="str">
        <f>IFERROR(__xludf.DUMMYFUNCTION("GOOGLEFINANCE(A16,""NAME"")"),"Live Nation Entertainment Inc")</f>
        <v>Live Nation Entertainment Inc</v>
      </c>
      <c r="C16" s="177" t="s">
        <v>89</v>
      </c>
      <c r="D16" s="177" t="s">
        <v>261</v>
      </c>
      <c r="E16" s="177">
        <v>-41.0</v>
      </c>
      <c r="F16" s="177">
        <v>166.48</v>
      </c>
      <c r="G16" s="201">
        <v>45898.0</v>
      </c>
      <c r="H16" s="19">
        <f>IF(OR(D16="Sell to Trim", D16="Sell to Close"),F16/VLOOKUP(A16, 'Sector Holdings'!$B$3:$M$121, 11, FALSE) - 1, "N/A")</f>
        <v>0.972979379</v>
      </c>
      <c r="I16" s="71">
        <f t="shared" si="1"/>
        <v>6825.68</v>
      </c>
    </row>
    <row r="17" ht="15.0" customHeight="1">
      <c r="A17" s="91" t="s">
        <v>126</v>
      </c>
      <c r="B17" s="23" t="str">
        <f>IFERROR(__xludf.DUMMYFUNCTION("GOOGLEFINANCE(A17,""NAME"")"),"Synopsys Inc")</f>
        <v>Synopsys Inc</v>
      </c>
      <c r="C17" s="177" t="s">
        <v>87</v>
      </c>
      <c r="D17" s="177" t="s">
        <v>260</v>
      </c>
      <c r="E17" s="177">
        <v>5.0</v>
      </c>
      <c r="F17" s="177">
        <v>602.65</v>
      </c>
      <c r="G17" s="201">
        <v>45898.0</v>
      </c>
      <c r="H17" s="19" t="str">
        <f>IF(OR(D17="Sell to Trim", D17="Sell to Close"),F17/VLOOKUP(A17, 'Sector Holdings'!$B$3:$M$121, 11, FALSE) - 1, "N/A")</f>
        <v>N/A</v>
      </c>
      <c r="I17" s="71">
        <f t="shared" si="1"/>
        <v>-3013.25</v>
      </c>
    </row>
    <row r="18" ht="15.0" customHeight="1">
      <c r="A18" s="91" t="s">
        <v>133</v>
      </c>
      <c r="B18" s="23" t="str">
        <f>IFERROR(__xludf.DUMMYFUNCTION("GOOGLEFINANCE(A18,""NAME"")"),"NextEra Energy Inc")</f>
        <v>NextEra Energy Inc</v>
      </c>
      <c r="C18" s="177" t="s">
        <v>91</v>
      </c>
      <c r="D18" s="177" t="s">
        <v>261</v>
      </c>
      <c r="E18" s="177">
        <v>-17.0</v>
      </c>
      <c r="F18" s="177">
        <v>72.18</v>
      </c>
      <c r="G18" s="201">
        <v>45898.0</v>
      </c>
      <c r="H18" s="19">
        <f>IF(OR(D18="Sell to Trim", D18="Sell to Close"),F18/VLOOKUP(A18, 'Sector Holdings'!$B$3:$M$121, 11, FALSE) - 1, "N/A")</f>
        <v>0.6054270463</v>
      </c>
      <c r="I18" s="71">
        <f t="shared" si="1"/>
        <v>1227.06</v>
      </c>
    </row>
    <row r="19" ht="15.0" customHeight="1">
      <c r="A19" s="91" t="s">
        <v>228</v>
      </c>
      <c r="B19" s="23" t="str">
        <f>IFERROR(__xludf.DUMMYFUNCTION("GOOGLEFINANCE(A19,""NAME"")"),"Vistra Corp")</f>
        <v>Vistra Corp</v>
      </c>
      <c r="C19" s="177" t="s">
        <v>91</v>
      </c>
      <c r="D19" s="177" t="s">
        <v>261</v>
      </c>
      <c r="E19" s="177">
        <v>-6.0</v>
      </c>
      <c r="F19" s="177">
        <v>187.43</v>
      </c>
      <c r="G19" s="201">
        <v>45898.0</v>
      </c>
      <c r="H19" s="19">
        <f>IF(OR(D19="Sell to Trim", D19="Sell to Close"),F19/VLOOKUP(A19, 'Sector Holdings'!$B$3:$M$121, 11, FALSE) - 1, "N/A")</f>
        <v>4.21508069</v>
      </c>
      <c r="I19" s="71">
        <f t="shared" si="1"/>
        <v>1124.58</v>
      </c>
      <c r="K19" s="19"/>
    </row>
    <row r="20" ht="15.0" customHeight="1">
      <c r="A20" s="91" t="s">
        <v>245</v>
      </c>
      <c r="B20" s="91" t="s">
        <v>269</v>
      </c>
      <c r="C20" s="177" t="s">
        <v>17</v>
      </c>
      <c r="D20" s="177" t="s">
        <v>264</v>
      </c>
      <c r="E20" s="177">
        <v>25.0</v>
      </c>
      <c r="F20" s="177">
        <v>102.074</v>
      </c>
      <c r="G20" s="201">
        <v>45929.0</v>
      </c>
      <c r="H20" s="19" t="str">
        <f>IF(OR(D20="Sell to Trim", D20="Sell to Close"),F20/VLOOKUP(A20, 'Sector Holdings'!$B$3:$M$121, 11, FALSE) - 1, "N/A")</f>
        <v>N/A</v>
      </c>
      <c r="I20" s="71">
        <f t="shared" si="1"/>
        <v>-2551.85</v>
      </c>
      <c r="K20" s="19"/>
    </row>
    <row r="21" ht="15.0" customHeight="1">
      <c r="A21" s="91" t="s">
        <v>115</v>
      </c>
      <c r="B21" s="23" t="str">
        <f>IFERROR(__xludf.DUMMYFUNCTION("GOOGLEFINANCE(A21,""NAME"")"),"United Rentals Inc")</f>
        <v>United Rentals Inc</v>
      </c>
      <c r="C21" s="177" t="s">
        <v>83</v>
      </c>
      <c r="D21" s="177" t="s">
        <v>253</v>
      </c>
      <c r="E21" s="177">
        <v>-83.0</v>
      </c>
      <c r="F21" s="177">
        <v>943.4</v>
      </c>
      <c r="G21" s="201">
        <v>45929.0</v>
      </c>
      <c r="H21" s="19" t="str">
        <f>IF(OR(D21="Sell to Trim", D21="Sell to Close"),F21/VLOOKUP(A21, 'Sector Holdings'!$B$3:$M$121, 11, FALSE) - 1, "N/A")</f>
        <v>#N/A</v>
      </c>
      <c r="I21" s="71">
        <f t="shared" si="1"/>
        <v>78302.2</v>
      </c>
      <c r="K21" s="19"/>
    </row>
    <row r="22" ht="15.0" customHeight="1">
      <c r="A22" s="91" t="s">
        <v>130</v>
      </c>
      <c r="B22" s="23" t="str">
        <f>IFERROR(__xludf.DUMMYFUNCTION("GOOGLEFINANCE(A22,""NAME"")"),"Alphabet Inc Class A")</f>
        <v>Alphabet Inc Class A</v>
      </c>
      <c r="C22" s="177" t="s">
        <v>87</v>
      </c>
      <c r="D22" s="177" t="s">
        <v>261</v>
      </c>
      <c r="E22" s="177">
        <v>-106.0</v>
      </c>
      <c r="F22" s="177">
        <v>248.08</v>
      </c>
      <c r="G22" s="201">
        <v>45929.0</v>
      </c>
      <c r="H22" s="19">
        <f>IF(OR(D22="Sell to Trim", D22="Sell to Close"),F22/VLOOKUP(A22, 'Sector Holdings'!$B$3:$M$121, 11, FALSE) - 1, "N/A")</f>
        <v>3.209227248</v>
      </c>
      <c r="I22" s="71">
        <f t="shared" si="1"/>
        <v>26296.48</v>
      </c>
      <c r="K22" s="19"/>
    </row>
    <row r="23" ht="15.0" customHeight="1">
      <c r="A23" s="91" t="s">
        <v>218</v>
      </c>
      <c r="B23" s="23" t="str">
        <f>IFERROR(__xludf.DUMMYFUNCTION("GOOGLEFINANCE(A23,""NAME"")"),"Taiwan Semicndctr Mnufctrng Co Ltd")</f>
        <v>Taiwan Semicndctr Mnufctrng Co Ltd</v>
      </c>
      <c r="C23" s="177" t="s">
        <v>87</v>
      </c>
      <c r="D23" s="177" t="s">
        <v>264</v>
      </c>
      <c r="E23" s="177">
        <v>97.0</v>
      </c>
      <c r="F23" s="177">
        <v>275.55</v>
      </c>
      <c r="G23" s="201">
        <v>45929.0</v>
      </c>
      <c r="H23" s="19" t="str">
        <f>IF(OR(D23="Sell to Trim", D23="Sell to Close"),F23/VLOOKUP(A23, 'Sector Holdings'!$B$3:$M$121, 11, FALSE) - 1, "N/A")</f>
        <v>N/A</v>
      </c>
      <c r="I23" s="71">
        <f t="shared" si="1"/>
        <v>-26728.35</v>
      </c>
      <c r="K23" s="19"/>
    </row>
    <row r="24" ht="15.0" customHeight="1">
      <c r="A24" s="91" t="s">
        <v>112</v>
      </c>
      <c r="B24" s="23" t="str">
        <f>IFERROR(__xludf.DUMMYFUNCTION("GOOGLEFINANCE(A24,""NAME"")"),"Veeva Systems Inc")</f>
        <v>Veeva Systems Inc</v>
      </c>
      <c r="C24" s="177" t="s">
        <v>81</v>
      </c>
      <c r="D24" s="177" t="s">
        <v>261</v>
      </c>
      <c r="E24" s="177">
        <v>-27.0</v>
      </c>
      <c r="F24" s="177">
        <v>302.44</v>
      </c>
      <c r="G24" s="201">
        <v>45938.0</v>
      </c>
      <c r="H24" s="19">
        <f>IF(OR(D24="Sell to Trim", D24="Sell to Close"),F24/VLOOKUP(A24, 'Sector Holdings'!$B$3:$M$121, 11, FALSE) - 1, "N/A")</f>
        <v>0.6704777686</v>
      </c>
      <c r="I24" s="71">
        <f t="shared" si="1"/>
        <v>8165.88</v>
      </c>
      <c r="K24" s="19"/>
    </row>
    <row r="25" ht="15.0" customHeight="1">
      <c r="A25" s="91" t="s">
        <v>268</v>
      </c>
      <c r="B25" s="23" t="str">
        <f>IFERROR(__xludf.DUMMYFUNCTION("GOOGLEFINANCE(A25,""NAME"")"),"Alcon AG")</f>
        <v>Alcon AG</v>
      </c>
      <c r="C25" s="177" t="s">
        <v>81</v>
      </c>
      <c r="D25" s="177" t="s">
        <v>261</v>
      </c>
      <c r="E25" s="177">
        <v>-176.0</v>
      </c>
      <c r="F25" s="177">
        <v>76.57</v>
      </c>
      <c r="G25" s="201">
        <v>45938.0</v>
      </c>
      <c r="H25" s="19" t="str">
        <f>IF(OR(D25="Sell to Trim", D25="Sell to Close"),F25/VLOOKUP(A25, 'Sector Holdings'!$B$3:$M$121, 11, FALSE) - 1, "N/A")</f>
        <v>#N/A</v>
      </c>
      <c r="I25" s="71">
        <f t="shared" si="1"/>
        <v>13476.32</v>
      </c>
      <c r="K25" s="19"/>
    </row>
    <row r="26" ht="15.0" customHeight="1">
      <c r="A26" s="91" t="s">
        <v>110</v>
      </c>
      <c r="B26" s="23" t="str">
        <f>IFERROR(__xludf.DUMMYFUNCTION("GOOGLEFINANCE(A26,""NAME"")"),"UnitedHealth Group Inc")</f>
        <v>UnitedHealth Group Inc</v>
      </c>
      <c r="C26" s="177" t="s">
        <v>81</v>
      </c>
      <c r="D26" s="177" t="s">
        <v>260</v>
      </c>
      <c r="E26" s="177">
        <v>55.0</v>
      </c>
      <c r="F26" s="177">
        <v>371.09</v>
      </c>
      <c r="G26" s="201">
        <v>45938.0</v>
      </c>
      <c r="H26" s="19" t="str">
        <f>IF(OR(D26="Sell to Trim", D26="Sell to Close"),F26/VLOOKUP(A26, 'Sector Holdings'!$B$3:$M$121, 11, FALSE) - 1, "N/A")</f>
        <v>N/A</v>
      </c>
      <c r="I26" s="71">
        <f t="shared" si="1"/>
        <v>-20409.95</v>
      </c>
      <c r="K26" s="19"/>
    </row>
    <row r="27" ht="15.0" customHeight="1">
      <c r="A27" s="91" t="s">
        <v>205</v>
      </c>
      <c r="B27" s="23" t="str">
        <f>IFERROR(__xludf.DUMMYFUNCTION("GOOGLEFINANCE(A27,""NAME"")"),"Amrize AG")</f>
        <v>Amrize AG</v>
      </c>
      <c r="C27" s="177" t="s">
        <v>83</v>
      </c>
      <c r="D27" s="177" t="s">
        <v>264</v>
      </c>
      <c r="E27" s="177">
        <v>830.0</v>
      </c>
      <c r="F27" s="177">
        <v>48.7</v>
      </c>
      <c r="G27" s="201">
        <v>45950.0</v>
      </c>
      <c r="H27" s="19" t="str">
        <f>IF(OR(D27="Sell to Trim", D27="Sell to Close"),F27/VLOOKUP(A27, 'Sector Holdings'!$B$3:$M$121, 11, FALSE) - 1, "N/A")</f>
        <v>N/A</v>
      </c>
      <c r="I27" s="71">
        <f t="shared" si="1"/>
        <v>-40421</v>
      </c>
      <c r="K27" s="19"/>
    </row>
    <row r="28" ht="15.0" customHeight="1">
      <c r="A28" s="91" t="s">
        <v>270</v>
      </c>
      <c r="B28" s="23" t="str">
        <f>IFERROR(__xludf.DUMMYFUNCTION("GOOGLEFINANCE(A28,""NAME"")"),"Qualcomm Inc")</f>
        <v>Qualcomm Inc</v>
      </c>
      <c r="C28" s="177" t="s">
        <v>87</v>
      </c>
      <c r="D28" s="177" t="s">
        <v>253</v>
      </c>
      <c r="E28" s="177">
        <v>-193.0</v>
      </c>
      <c r="F28" s="177">
        <v>164.6</v>
      </c>
      <c r="G28" s="201">
        <v>45950.0</v>
      </c>
      <c r="H28" s="19" t="str">
        <f>IF(OR(D28="Sell to Trim", D28="Sell to Close"),F28/VLOOKUP(A28, 'Sector Holdings'!$B$3:$M$121, 11, FALSE) - 1, "N/A")</f>
        <v>#N/A</v>
      </c>
      <c r="I28" s="71">
        <f t="shared" si="1"/>
        <v>31767.8</v>
      </c>
      <c r="K28" s="19"/>
    </row>
    <row r="29" ht="15.0" customHeight="1">
      <c r="A29" s="91" t="s">
        <v>218</v>
      </c>
      <c r="B29" s="23" t="str">
        <f>IFERROR(__xludf.DUMMYFUNCTION("GOOGLEFINANCE(A29,""NAME"")"),"Taiwan Semicndctr Mnufctrng Co Ltd")</f>
        <v>Taiwan Semicndctr Mnufctrng Co Ltd</v>
      </c>
      <c r="C29" s="177" t="s">
        <v>87</v>
      </c>
      <c r="D29" s="177" t="s">
        <v>260</v>
      </c>
      <c r="E29" s="177">
        <v>105.0</v>
      </c>
      <c r="F29" s="177">
        <v>301.85</v>
      </c>
      <c r="G29" s="201">
        <v>45950.0</v>
      </c>
      <c r="H29" s="19" t="str">
        <f>IF(OR(D29="Sell to Trim", D29="Sell to Close"),F29/VLOOKUP(A29, 'Sector Holdings'!$B$3:$M$121, 11, FALSE) - 1, "N/A")</f>
        <v>N/A</v>
      </c>
      <c r="I29" s="71">
        <f t="shared" si="1"/>
        <v>-31694.25</v>
      </c>
      <c r="K29" s="19"/>
    </row>
    <row r="30" ht="15.0" customHeight="1">
      <c r="A30" s="202" t="s">
        <v>105</v>
      </c>
      <c r="B30" s="23" t="str">
        <f>IFERROR(__xludf.DUMMYFUNCTION("GOOGLEFINANCE(A30,""NAME"")"),"#N/A")</f>
        <v>#N/A</v>
      </c>
      <c r="C30" s="202" t="s">
        <v>79</v>
      </c>
      <c r="D30" s="202" t="s">
        <v>260</v>
      </c>
      <c r="E30" s="202">
        <v>120.0</v>
      </c>
      <c r="F30" s="203">
        <v>65.235</v>
      </c>
      <c r="G30" s="204">
        <v>45964.0</v>
      </c>
      <c r="H30" s="205" t="str">
        <f>IF(OR(D30="Sell to Trim", D30="Sell to Close"),F30/VLOOKUP(A30, 'Sector Holdings'!$B$3:$M$121, 11, FALSE) - 1, "N/A")</f>
        <v>N/A</v>
      </c>
      <c r="I30" s="71">
        <f t="shared" si="1"/>
        <v>-7828.2</v>
      </c>
      <c r="K30" s="19"/>
    </row>
    <row r="31" ht="15.0" customHeight="1">
      <c r="A31" s="206" t="s">
        <v>189</v>
      </c>
      <c r="B31" s="23" t="str">
        <f>IFERROR(__xludf.DUMMYFUNCTION("GOOGLEFINANCE(A31,""NAME"")"),"NCR Atleos Corp")</f>
        <v>NCR Atleos Corp</v>
      </c>
      <c r="C31" s="207" t="s">
        <v>79</v>
      </c>
      <c r="D31" s="208" t="s">
        <v>264</v>
      </c>
      <c r="E31" s="208">
        <v>910.0</v>
      </c>
      <c r="F31" s="209">
        <v>36.214</v>
      </c>
      <c r="G31" s="210">
        <v>45964.0</v>
      </c>
      <c r="H31" s="205" t="str">
        <f>IF(OR(D31="Sell to Trim", D31="Sell to Close"),F31/VLOOKUP(A31, 'Sector Holdings'!$B$3:$M$121, 11, FALSE) - 1, "N/A")</f>
        <v>N/A</v>
      </c>
      <c r="I31" s="71">
        <f t="shared" si="1"/>
        <v>-32954.74</v>
      </c>
      <c r="K31" s="19"/>
    </row>
    <row r="32" ht="15.0" customHeight="1">
      <c r="A32" s="211" t="s">
        <v>268</v>
      </c>
      <c r="B32" s="23" t="str">
        <f>IFERROR(__xludf.DUMMYFUNCTION("GOOGLEFINANCE(A32,""NAME"")"),"Alcon AG")</f>
        <v>Alcon AG</v>
      </c>
      <c r="C32" s="212" t="s">
        <v>81</v>
      </c>
      <c r="D32" s="213" t="s">
        <v>253</v>
      </c>
      <c r="E32" s="213">
        <v>-292.0</v>
      </c>
      <c r="F32" s="213">
        <v>72.767</v>
      </c>
      <c r="G32" s="214">
        <v>45964.0</v>
      </c>
      <c r="H32" s="19" t="str">
        <f>IF(OR(D32="Sell to Trim", D32="Sell to Close"),F32/VLOOKUP(A32, 'Sector Holdings'!$B$3:$M$121, 11, FALSE) - 1, "N/A")</f>
        <v>#N/A</v>
      </c>
      <c r="I32" s="71">
        <f t="shared" si="1"/>
        <v>21247.964</v>
      </c>
      <c r="K32" s="19"/>
    </row>
    <row r="33" ht="15.0" customHeight="1">
      <c r="A33" s="206" t="s">
        <v>109</v>
      </c>
      <c r="B33" s="23" t="str">
        <f>IFERROR(__xludf.DUMMYFUNCTION("GOOGLEFINANCE(A33,""NAME"")"),"Thermo Fisher Scientific Inc")</f>
        <v>Thermo Fisher Scientific Inc</v>
      </c>
      <c r="C33" s="207" t="s">
        <v>81</v>
      </c>
      <c r="D33" s="208" t="s">
        <v>261</v>
      </c>
      <c r="E33" s="208">
        <v>-9.0</v>
      </c>
      <c r="F33" s="209">
        <v>555.089</v>
      </c>
      <c r="G33" s="210">
        <v>45964.0</v>
      </c>
      <c r="H33" s="205">
        <f>IF(OR(D33="Sell to Trim", D33="Sell to Close"),F33/VLOOKUP(A33, 'Sector Holdings'!$B$3:$M$121, 11, FALSE) - 1, "N/A")</f>
        <v>0.281960739</v>
      </c>
      <c r="I33" s="71">
        <f t="shared" si="1"/>
        <v>4995.801</v>
      </c>
      <c r="K33" s="19"/>
    </row>
    <row r="34" ht="15.0" customHeight="1">
      <c r="A34" s="206" t="s">
        <v>111</v>
      </c>
      <c r="B34" s="23" t="str">
        <f>IFERROR(__xludf.DUMMYFUNCTION("GOOGLEFINANCE(A34,""NAME"")"),"Merck &amp; Co Inc")</f>
        <v>Merck &amp; Co Inc</v>
      </c>
      <c r="C34" s="207" t="s">
        <v>81</v>
      </c>
      <c r="D34" s="208" t="s">
        <v>264</v>
      </c>
      <c r="E34" s="208">
        <v>315.0</v>
      </c>
      <c r="F34" s="208">
        <v>83.575</v>
      </c>
      <c r="G34" s="210">
        <v>45964.0</v>
      </c>
      <c r="H34" s="205" t="str">
        <f>IF(OR(D34="Sell to Trim", D34="Sell to Close"),F34/VLOOKUP(A34, 'Sector Holdings'!$B$3:$M$121, 11, FALSE) - 1, "N/A")</f>
        <v>N/A</v>
      </c>
      <c r="I34" s="71">
        <f t="shared" si="1"/>
        <v>-26326.125</v>
      </c>
      <c r="K34" s="19"/>
    </row>
    <row r="35" ht="15.0" customHeight="1">
      <c r="A35" s="206" t="s">
        <v>173</v>
      </c>
      <c r="B35" s="23" t="str">
        <f>IFERROR(__xludf.DUMMYFUNCTION("GOOGLEFINANCE(A35,""NAME"")"),"Slb NV")</f>
        <v>Slb NV</v>
      </c>
      <c r="C35" s="207" t="s">
        <v>83</v>
      </c>
      <c r="D35" s="208" t="s">
        <v>264</v>
      </c>
      <c r="E35" s="208">
        <v>502.0</v>
      </c>
      <c r="F35" s="208">
        <v>36.685</v>
      </c>
      <c r="G35" s="210">
        <v>45964.0</v>
      </c>
      <c r="H35" s="205" t="str">
        <f>IF(OR(D35="Sell to Trim", D35="Sell to Close"),F35/VLOOKUP(A35, 'Sector Holdings'!$B$3:$M$121, 11, FALSE) - 1, "N/A")</f>
        <v>N/A</v>
      </c>
      <c r="I35" s="71">
        <f t="shared" si="1"/>
        <v>-18415.87</v>
      </c>
      <c r="K35" s="19"/>
    </row>
    <row r="36" ht="15.0" customHeight="1">
      <c r="A36" s="206" t="s">
        <v>271</v>
      </c>
      <c r="B36" s="23" t="str">
        <f>IFERROR(__xludf.DUMMYFUNCTION("GOOGLEFINANCE(A36,""NAME"")"),"VICI Properties Inc")</f>
        <v>VICI Properties Inc</v>
      </c>
      <c r="C36" s="207" t="s">
        <v>85</v>
      </c>
      <c r="D36" s="208" t="s">
        <v>253</v>
      </c>
      <c r="E36" s="208">
        <v>-872.0</v>
      </c>
      <c r="F36" s="209">
        <v>30.14</v>
      </c>
      <c r="G36" s="210">
        <v>45968.0</v>
      </c>
      <c r="H36" s="205" t="str">
        <f>IF(OR(D36="Sell to Trim", D36="Sell to Close"),F36/VLOOKUP(A36, 'Sector Holdings'!$B$3:$M$121, 11, FALSE) - 1, "N/A")</f>
        <v>#N/A</v>
      </c>
      <c r="I36" s="71">
        <f t="shared" si="1"/>
        <v>26282.08</v>
      </c>
      <c r="K36" s="19"/>
    </row>
    <row r="37" ht="15.0" customHeight="1">
      <c r="A37" s="213" t="s">
        <v>97</v>
      </c>
      <c r="B37" s="215" t="str">
        <f>IFERROR(__xludf.DUMMYFUNCTION("GOOGLEFINANCE(A37,""NAME"")"),"Philip Morris International Inc.")</f>
        <v>Philip Morris International Inc.</v>
      </c>
      <c r="C37" s="213" t="s">
        <v>74</v>
      </c>
      <c r="D37" s="213" t="s">
        <v>261</v>
      </c>
      <c r="E37" s="213">
        <v>-190.0</v>
      </c>
      <c r="F37" s="216">
        <v>155.76</v>
      </c>
      <c r="G37" s="210">
        <v>45982.0</v>
      </c>
      <c r="H37" s="205">
        <f>IF(OR(D37="Sell to Trim", D37="Sell to Close"),F37/VLOOKUP(A37, 'Sector Holdings'!$B$3:$M$121, 11, FALSE) - 1, "N/A")</f>
        <v>0.7186362132</v>
      </c>
      <c r="I37" s="71">
        <f t="shared" si="1"/>
        <v>29594.4</v>
      </c>
      <c r="K37" s="19"/>
    </row>
    <row r="38" ht="15.0" customHeight="1">
      <c r="A38" s="213" t="s">
        <v>163</v>
      </c>
      <c r="B38" s="23" t="str">
        <f>IFERROR(__xludf.DUMMYFUNCTION("GOOGLEFINANCE(A38,""NAME"")"),"Post Holdings Inc")</f>
        <v>Post Holdings Inc</v>
      </c>
      <c r="C38" s="213" t="s">
        <v>74</v>
      </c>
      <c r="D38" s="213" t="s">
        <v>260</v>
      </c>
      <c r="E38" s="213">
        <v>190.0</v>
      </c>
      <c r="F38" s="216">
        <v>102.26</v>
      </c>
      <c r="G38" s="210">
        <v>45982.0</v>
      </c>
      <c r="H38" s="205" t="str">
        <f>IF(OR(D38="Sell to Trim", D38="Sell to Close"),F38/VLOOKUP(A38, 'Sector Holdings'!$B$3:$M$121, 11, FALSE) - 1, "N/A")</f>
        <v>N/A</v>
      </c>
      <c r="I38" s="71">
        <f t="shared" si="1"/>
        <v>-19429.4</v>
      </c>
      <c r="K38" s="19"/>
    </row>
    <row r="39" ht="15.0" customHeight="1">
      <c r="A39" s="91" t="s">
        <v>165</v>
      </c>
      <c r="B39" s="23" t="str">
        <f>IFERROR(__xludf.DUMMYFUNCTION("GOOGLEFINANCE(A39,""NAME"")"),"Sprouts Farmers Market Inc")</f>
        <v>Sprouts Farmers Market Inc</v>
      </c>
      <c r="C39" s="213" t="s">
        <v>74</v>
      </c>
      <c r="D39" s="213" t="s">
        <v>260</v>
      </c>
      <c r="E39" s="91">
        <v>240.0</v>
      </c>
      <c r="F39" s="128">
        <v>82.38</v>
      </c>
      <c r="G39" s="210">
        <v>45982.0</v>
      </c>
      <c r="H39" s="205" t="str">
        <f>IF(OR(D39="Sell to Trim", D39="Sell to Close"),F39/VLOOKUP(A39, 'Sector Holdings'!$B$3:$M$121, 11, FALSE) - 1, "N/A")</f>
        <v>N/A</v>
      </c>
      <c r="I39" s="71">
        <f t="shared" si="1"/>
        <v>-19771.2</v>
      </c>
      <c r="K39" s="19"/>
    </row>
    <row r="40" ht="15.0" customHeight="1">
      <c r="A40" s="202" t="s">
        <v>272</v>
      </c>
      <c r="B40" s="202" t="s">
        <v>273</v>
      </c>
      <c r="C40" s="208" t="s">
        <v>17</v>
      </c>
      <c r="D40" s="202" t="s">
        <v>264</v>
      </c>
      <c r="E40" s="202">
        <v>20.0</v>
      </c>
      <c r="F40" s="217">
        <f>20059.8/200</f>
        <v>100.299</v>
      </c>
      <c r="G40" s="210">
        <v>45982.0</v>
      </c>
      <c r="H40" s="205" t="str">
        <f>IF(OR(D40="Sell to Trim", D40="Sell to Close"),F40/VLOOKUP(A40, 'Sector Holdings'!$B$3:$M$121, 11, FALSE) - 1, "N/A")</f>
        <v>N/A</v>
      </c>
      <c r="I40" s="71">
        <f t="shared" si="1"/>
        <v>-2005.98</v>
      </c>
      <c r="K40" s="19"/>
    </row>
    <row r="41" ht="15.0" customHeight="1">
      <c r="A41" s="202" t="s">
        <v>130</v>
      </c>
      <c r="B41" s="23" t="str">
        <f>IFERROR(__xludf.DUMMYFUNCTION("GOOGLEFINANCE(A41,""NAME"")"),"Alphabet Inc Class A")</f>
        <v>Alphabet Inc Class A</v>
      </c>
      <c r="C41" s="208" t="s">
        <v>87</v>
      </c>
      <c r="D41" s="202" t="s">
        <v>261</v>
      </c>
      <c r="E41" s="202">
        <v>-75.0</v>
      </c>
      <c r="F41" s="203">
        <v>301.89</v>
      </c>
      <c r="G41" s="210">
        <v>45982.0</v>
      </c>
      <c r="H41" s="205">
        <f>IF(OR(D41="Sell to Trim", D41="Sell to Close"),F41/VLOOKUP(A41, 'Sector Holdings'!$B$3:$M$121, 11, FALSE) - 1, "N/A")</f>
        <v>4.122233206</v>
      </c>
      <c r="I41" s="71">
        <f t="shared" si="1"/>
        <v>22641.75</v>
      </c>
      <c r="K41" s="19"/>
    </row>
    <row r="42" ht="15.0" customHeight="1">
      <c r="A42" s="91" t="s">
        <v>274</v>
      </c>
      <c r="B42" s="23" t="str">
        <f>IFERROR(__xludf.DUMMYFUNCTION("GOOGLEFINANCE(A42,""NAME"")"),"Nice Ltd")</f>
        <v>Nice Ltd</v>
      </c>
      <c r="C42" s="202" t="s">
        <v>87</v>
      </c>
      <c r="D42" s="202" t="s">
        <v>253</v>
      </c>
      <c r="E42" s="91">
        <v>-180.0</v>
      </c>
      <c r="F42" s="128">
        <v>104.28</v>
      </c>
      <c r="G42" s="210">
        <v>45982.0</v>
      </c>
      <c r="H42" s="205" t="str">
        <f>IF(OR(D42="Sell to Trim", D42="Sell to Close"),F42/VLOOKUP(A42, 'Sector Holdings'!$B$3:$M$121, 11, FALSE) - 1, "N/A")</f>
        <v>#N/A</v>
      </c>
      <c r="I42" s="71">
        <f t="shared" si="1"/>
        <v>18770.4</v>
      </c>
      <c r="K42" s="19"/>
    </row>
    <row r="43" ht="15.0" customHeight="1">
      <c r="A43" s="91" t="s">
        <v>126</v>
      </c>
      <c r="B43" s="23" t="str">
        <f>IFERROR(__xludf.DUMMYFUNCTION("GOOGLEFINANCE(A43,""NAME"")"),"Synopsys Inc")</f>
        <v>Synopsys Inc</v>
      </c>
      <c r="C43" s="202" t="s">
        <v>87</v>
      </c>
      <c r="D43" s="91" t="s">
        <v>260</v>
      </c>
      <c r="E43" s="91">
        <v>50.0</v>
      </c>
      <c r="F43" s="128">
        <v>388.85</v>
      </c>
      <c r="G43" s="210">
        <v>45982.0</v>
      </c>
      <c r="H43" s="205" t="str">
        <f>IF(OR(D43="Sell to Trim", D43="Sell to Close"),F43/VLOOKUP(A43, 'Sector Holdings'!$B$3:$M$121, 11, FALSE) - 1, "N/A")</f>
        <v>N/A</v>
      </c>
      <c r="I43" s="71">
        <f t="shared" si="1"/>
        <v>-19442.5</v>
      </c>
      <c r="K43" s="19"/>
    </row>
    <row r="44" ht="15.0" customHeight="1">
      <c r="A44" s="91" t="s">
        <v>218</v>
      </c>
      <c r="B44" s="23" t="str">
        <f>IFERROR(__xludf.DUMMYFUNCTION("GOOGLEFINANCE(A44,""NAME"")"),"Taiwan Semicndctr Mnufctrng Co Ltd")</f>
        <v>Taiwan Semicndctr Mnufctrng Co Ltd</v>
      </c>
      <c r="C44" s="202" t="s">
        <v>87</v>
      </c>
      <c r="D44" s="91" t="s">
        <v>260</v>
      </c>
      <c r="E44" s="91">
        <v>75.0</v>
      </c>
      <c r="F44" s="128">
        <v>276.65</v>
      </c>
      <c r="G44" s="210">
        <v>45982.0</v>
      </c>
      <c r="H44" s="205" t="str">
        <f>IF(OR(D44="Sell to Trim", D44="Sell to Close"),F44/VLOOKUP(A44, 'Sector Holdings'!$B$3:$M$121, 11, FALSE) - 1, "N/A")</f>
        <v>N/A</v>
      </c>
      <c r="I44" s="71">
        <f t="shared" si="1"/>
        <v>-20748.75</v>
      </c>
      <c r="K44" s="19"/>
    </row>
    <row r="45" ht="15.0" customHeight="1">
      <c r="A45" s="23"/>
      <c r="B45" s="23"/>
      <c r="C45" s="23"/>
      <c r="D45" s="23"/>
      <c r="E45" s="23"/>
      <c r="F45" s="71"/>
      <c r="G45" s="50"/>
      <c r="H45" s="19"/>
      <c r="I45" s="71"/>
    </row>
    <row r="46" ht="15.0" customHeight="1">
      <c r="A46" s="23"/>
      <c r="B46" s="23"/>
      <c r="C46" s="23"/>
      <c r="D46" s="23"/>
      <c r="E46" s="23"/>
      <c r="F46" s="71"/>
      <c r="G46" s="50"/>
      <c r="H46" s="19"/>
      <c r="I46" s="71"/>
      <c r="K46" s="19"/>
    </row>
    <row r="47" ht="15.0" customHeight="1">
      <c r="A47" s="23"/>
      <c r="B47" s="23"/>
      <c r="C47" s="23"/>
      <c r="D47" s="23"/>
      <c r="E47" s="23"/>
      <c r="F47" s="71"/>
      <c r="G47" s="50"/>
      <c r="H47" s="19"/>
      <c r="I47" s="71"/>
      <c r="K47" s="19"/>
    </row>
    <row r="48" ht="15.0" customHeight="1">
      <c r="A48" s="23"/>
      <c r="B48" s="23"/>
      <c r="C48" s="23"/>
      <c r="D48" s="23"/>
      <c r="E48" s="23"/>
      <c r="F48" s="71"/>
      <c r="G48" s="50"/>
      <c r="H48" s="19"/>
      <c r="I48" s="71"/>
      <c r="K48" s="19"/>
    </row>
    <row r="49" ht="15.0" customHeight="1">
      <c r="A49" s="23"/>
      <c r="B49" s="23"/>
      <c r="C49" s="23"/>
      <c r="D49" s="23"/>
      <c r="E49" s="23"/>
      <c r="F49" s="71"/>
      <c r="G49" s="50"/>
      <c r="H49" s="19"/>
      <c r="I49" s="71"/>
      <c r="K49" s="19"/>
    </row>
    <row r="50" ht="15.75" customHeight="1">
      <c r="A50" s="23"/>
      <c r="B50" s="23"/>
      <c r="C50" s="23"/>
      <c r="D50" s="23"/>
      <c r="E50" s="23"/>
      <c r="F50" s="71"/>
      <c r="G50" s="50"/>
      <c r="H50" s="19"/>
      <c r="I50" s="71"/>
      <c r="K50" s="19"/>
    </row>
    <row r="51" ht="15.75" customHeight="1">
      <c r="A51" s="23"/>
      <c r="B51" s="23"/>
      <c r="C51" s="23"/>
      <c r="D51" s="23"/>
      <c r="E51" s="23"/>
      <c r="F51" s="71"/>
      <c r="G51" s="50"/>
      <c r="H51" s="19"/>
      <c r="I51" s="71"/>
      <c r="K51" s="19"/>
    </row>
    <row r="52" ht="15.75" customHeight="1">
      <c r="A52" s="23"/>
      <c r="B52" s="23"/>
      <c r="C52" s="23"/>
      <c r="D52" s="23"/>
      <c r="E52" s="23"/>
      <c r="F52" s="71"/>
      <c r="G52" s="50"/>
      <c r="H52" s="19"/>
      <c r="I52" s="71"/>
    </row>
    <row r="53" ht="15.75" customHeight="1">
      <c r="A53" s="23"/>
      <c r="B53" s="23"/>
      <c r="C53" s="23"/>
      <c r="D53" s="23"/>
      <c r="E53" s="23"/>
      <c r="F53" s="71"/>
      <c r="G53" s="50"/>
      <c r="H53" s="19"/>
      <c r="I53" s="71"/>
    </row>
    <row r="54" ht="15.75" customHeight="1">
      <c r="A54" s="23"/>
      <c r="B54" s="23"/>
      <c r="C54" s="23"/>
      <c r="D54" s="23"/>
      <c r="E54" s="23"/>
      <c r="F54" s="71"/>
      <c r="G54" s="50"/>
      <c r="H54" s="19"/>
      <c r="I54" s="71"/>
    </row>
    <row r="55" ht="15.75" customHeight="1">
      <c r="A55" s="23"/>
      <c r="B55" s="23"/>
      <c r="C55" s="23"/>
      <c r="D55" s="23"/>
      <c r="E55" s="23"/>
      <c r="F55" s="71"/>
      <c r="G55" s="50"/>
      <c r="H55" s="19"/>
      <c r="I55" s="71"/>
    </row>
    <row r="56" ht="15.75" customHeight="1">
      <c r="A56" s="23"/>
      <c r="B56" s="23"/>
      <c r="C56" s="23"/>
      <c r="D56" s="23"/>
      <c r="E56" s="23"/>
      <c r="F56" s="71"/>
      <c r="G56" s="50"/>
      <c r="H56" s="19"/>
      <c r="I56" s="71"/>
    </row>
    <row r="57" ht="15.75" customHeight="1">
      <c r="A57" s="65"/>
      <c r="B57" s="65"/>
      <c r="C57" s="65"/>
      <c r="D57" s="65"/>
      <c r="E57" s="65"/>
      <c r="F57" s="218"/>
      <c r="G57" s="219"/>
      <c r="H57" s="67"/>
      <c r="I57" s="218"/>
    </row>
    <row r="58" ht="15.75" customHeight="1">
      <c r="A58" s="65"/>
      <c r="B58" s="65"/>
      <c r="C58" s="65"/>
      <c r="D58" s="65"/>
      <c r="E58" s="65"/>
      <c r="F58" s="218"/>
      <c r="G58" s="219"/>
      <c r="H58" s="67"/>
      <c r="I58" s="218"/>
    </row>
    <row r="59" ht="15.75" customHeight="1">
      <c r="A59" s="65"/>
      <c r="B59" s="65"/>
      <c r="C59" s="65"/>
      <c r="D59" s="65"/>
      <c r="E59" s="65"/>
      <c r="F59" s="218"/>
      <c r="G59" s="219"/>
      <c r="H59" s="67"/>
      <c r="I59" s="218"/>
    </row>
    <row r="60" ht="15.75" customHeight="1">
      <c r="A60" s="23"/>
      <c r="B60" s="23"/>
      <c r="C60" s="23"/>
      <c r="D60" s="23"/>
      <c r="E60" s="23"/>
      <c r="F60" s="71"/>
      <c r="G60" s="50"/>
      <c r="H60" s="19"/>
      <c r="I60" s="71"/>
    </row>
    <row r="61" ht="15.75" customHeight="1">
      <c r="A61" s="23"/>
      <c r="B61" s="23"/>
      <c r="C61" s="23"/>
      <c r="D61" s="23"/>
      <c r="E61" s="23"/>
      <c r="F61" s="71"/>
      <c r="G61" s="50"/>
      <c r="H61" s="19"/>
      <c r="I61" s="71"/>
    </row>
    <row r="62" ht="15.75" customHeight="1">
      <c r="A62" s="23"/>
      <c r="B62" s="23"/>
      <c r="C62" s="23"/>
      <c r="D62" s="23"/>
      <c r="E62" s="23"/>
      <c r="F62" s="71"/>
      <c r="G62" s="50"/>
      <c r="H62" s="19"/>
      <c r="I62" s="71"/>
    </row>
    <row r="63" ht="15.75" customHeight="1">
      <c r="A63" s="23"/>
      <c r="B63" s="23"/>
      <c r="C63" s="23"/>
      <c r="D63" s="23"/>
      <c r="E63" s="23"/>
      <c r="F63" s="71"/>
      <c r="G63" s="50"/>
      <c r="H63" s="19"/>
      <c r="I63" s="71"/>
    </row>
    <row r="64" ht="15.75" customHeight="1">
      <c r="A64" s="23"/>
      <c r="B64" s="23"/>
      <c r="C64" s="23"/>
      <c r="D64" s="23"/>
      <c r="E64" s="23"/>
      <c r="F64" s="71"/>
      <c r="G64" s="50"/>
      <c r="H64" s="19"/>
      <c r="I64" s="71"/>
    </row>
    <row r="65" ht="15.75" customHeight="1">
      <c r="A65" s="23"/>
      <c r="B65" s="23"/>
      <c r="C65" s="23"/>
      <c r="D65" s="23"/>
      <c r="E65" s="23"/>
      <c r="F65" s="71"/>
      <c r="G65" s="50"/>
      <c r="H65" s="19"/>
      <c r="I65" s="71"/>
    </row>
    <row r="66" ht="15.75" customHeight="1">
      <c r="A66" s="23"/>
      <c r="B66" s="23"/>
      <c r="C66" s="23"/>
      <c r="D66" s="23"/>
      <c r="E66" s="23"/>
      <c r="F66" s="71"/>
      <c r="G66" s="50"/>
      <c r="H66" s="19"/>
      <c r="I66" s="71"/>
    </row>
    <row r="67" ht="15.75" customHeight="1">
      <c r="A67" s="65"/>
      <c r="B67" s="65"/>
      <c r="C67" s="65"/>
      <c r="D67" s="65"/>
      <c r="E67" s="65"/>
      <c r="F67" s="218"/>
      <c r="G67" s="219"/>
      <c r="H67" s="67"/>
      <c r="I67" s="218"/>
    </row>
    <row r="68" ht="15.75" customHeight="1">
      <c r="A68" s="23"/>
      <c r="B68" s="23"/>
      <c r="C68" s="23"/>
      <c r="D68" s="23"/>
      <c r="E68" s="23"/>
      <c r="F68" s="71"/>
      <c r="G68" s="50"/>
      <c r="H68" s="19"/>
      <c r="I68" s="71"/>
    </row>
    <row r="69" ht="15.75" customHeight="1">
      <c r="A69" s="23"/>
      <c r="B69" s="23"/>
      <c r="C69" s="23"/>
      <c r="D69" s="23"/>
      <c r="E69" s="23"/>
      <c r="F69" s="71"/>
      <c r="G69" s="50"/>
      <c r="H69" s="19"/>
      <c r="I69" s="71"/>
    </row>
    <row r="70" ht="15.75" customHeight="1">
      <c r="A70" s="23"/>
      <c r="B70" s="23"/>
      <c r="C70" s="23"/>
      <c r="D70" s="23"/>
      <c r="E70" s="23"/>
      <c r="F70" s="71"/>
      <c r="G70" s="50"/>
      <c r="H70" s="19"/>
      <c r="I70" s="71"/>
    </row>
    <row r="71" ht="15.75" customHeight="1">
      <c r="A71" s="23"/>
      <c r="B71" s="23"/>
      <c r="C71" s="23"/>
      <c r="D71" s="23"/>
      <c r="E71" s="23"/>
      <c r="F71" s="71"/>
      <c r="G71" s="50"/>
      <c r="H71" s="19"/>
      <c r="I71" s="71"/>
    </row>
    <row r="72" ht="15.75" customHeight="1">
      <c r="A72" s="65"/>
      <c r="B72" s="65"/>
      <c r="C72" s="65"/>
      <c r="D72" s="65"/>
      <c r="E72" s="65"/>
      <c r="F72" s="218"/>
      <c r="G72" s="219"/>
      <c r="H72" s="67"/>
      <c r="I72" s="218"/>
    </row>
    <row r="73" ht="15.75" customHeight="1">
      <c r="A73" s="65"/>
      <c r="B73" s="65"/>
      <c r="C73" s="65"/>
      <c r="D73" s="65"/>
      <c r="E73" s="65"/>
      <c r="F73" s="218"/>
      <c r="G73" s="219"/>
      <c r="H73" s="67"/>
      <c r="I73" s="218"/>
    </row>
    <row r="74" ht="15.75" customHeight="1">
      <c r="A74" s="65"/>
      <c r="B74" s="65"/>
      <c r="C74" s="65"/>
      <c r="D74" s="65"/>
      <c r="E74" s="65"/>
      <c r="F74" s="218"/>
      <c r="G74" s="219"/>
      <c r="H74" s="67"/>
      <c r="I74" s="218"/>
    </row>
    <row r="75" ht="15.75" customHeight="1">
      <c r="A75" s="65"/>
      <c r="B75" s="65"/>
      <c r="C75" s="65"/>
      <c r="D75" s="65"/>
      <c r="E75" s="65"/>
      <c r="F75" s="218"/>
      <c r="G75" s="219"/>
      <c r="H75" s="67"/>
      <c r="I75" s="218"/>
    </row>
    <row r="76" ht="15.75" customHeight="1">
      <c r="A76" s="65"/>
      <c r="B76" s="65"/>
      <c r="C76" s="65"/>
      <c r="D76" s="65"/>
      <c r="E76" s="65"/>
      <c r="F76" s="218"/>
      <c r="G76" s="219"/>
      <c r="H76" s="67"/>
      <c r="I76" s="218"/>
    </row>
    <row r="77" ht="15.75" customHeight="1">
      <c r="A77" s="220"/>
      <c r="B77" s="65"/>
      <c r="C77" s="65"/>
      <c r="D77" s="65"/>
      <c r="E77" s="65"/>
      <c r="F77" s="218"/>
      <c r="G77" s="219"/>
      <c r="H77" s="67"/>
      <c r="I77" s="218"/>
    </row>
    <row r="78" ht="15.75" customHeight="1">
      <c r="A78" s="23"/>
      <c r="B78" s="23"/>
      <c r="C78" s="23"/>
      <c r="D78" s="23"/>
      <c r="E78" s="23"/>
      <c r="F78" s="71"/>
      <c r="G78" s="50"/>
      <c r="H78" s="19"/>
      <c r="I78" s="71"/>
    </row>
    <row r="79" ht="15.75" customHeight="1">
      <c r="A79" s="23"/>
      <c r="B79" s="23"/>
      <c r="C79" s="23"/>
      <c r="D79" s="23"/>
      <c r="E79" s="23"/>
      <c r="F79" s="71"/>
      <c r="G79" s="50"/>
      <c r="H79" s="19"/>
      <c r="I79" s="71"/>
    </row>
    <row r="80" ht="15.75" customHeight="1">
      <c r="A80" s="23"/>
      <c r="B80" s="23"/>
      <c r="C80" s="23"/>
      <c r="D80" s="23"/>
      <c r="E80" s="23"/>
      <c r="F80" s="71"/>
      <c r="G80" s="50"/>
      <c r="H80" s="19"/>
      <c r="I80" s="71"/>
    </row>
    <row r="81" ht="15.75" customHeight="1">
      <c r="A81" s="23"/>
      <c r="B81" s="23"/>
      <c r="C81" s="23"/>
      <c r="D81" s="23"/>
      <c r="E81" s="23"/>
      <c r="F81" s="71"/>
      <c r="G81" s="50"/>
      <c r="H81" s="19"/>
      <c r="I81" s="71"/>
    </row>
    <row r="82" ht="15.75" customHeight="1">
      <c r="A82" s="23"/>
      <c r="B82" s="23"/>
      <c r="C82" s="23"/>
      <c r="D82" s="23"/>
      <c r="E82" s="23"/>
      <c r="F82" s="71"/>
      <c r="G82" s="50"/>
      <c r="H82" s="19"/>
      <c r="I82" s="71"/>
    </row>
    <row r="83" ht="15.75" customHeight="1">
      <c r="A83" s="220"/>
      <c r="B83" s="65"/>
      <c r="C83" s="65"/>
      <c r="D83" s="65"/>
      <c r="E83" s="65"/>
      <c r="F83" s="65"/>
      <c r="G83" s="219"/>
      <c r="H83" s="67"/>
      <c r="I83" s="218"/>
    </row>
    <row r="84" ht="15.75" customHeight="1">
      <c r="A84" s="220"/>
      <c r="B84" s="65"/>
      <c r="C84" s="65"/>
      <c r="D84" s="65"/>
      <c r="E84" s="65"/>
      <c r="F84" s="218"/>
      <c r="G84" s="219"/>
      <c r="H84" s="67"/>
      <c r="I84" s="218"/>
    </row>
    <row r="85" ht="15.75" customHeight="1">
      <c r="A85" s="220"/>
      <c r="B85" s="65"/>
      <c r="C85" s="65"/>
      <c r="D85" s="65"/>
      <c r="E85" s="65"/>
      <c r="F85" s="218"/>
      <c r="G85" s="219"/>
      <c r="H85" s="67"/>
      <c r="I85" s="218"/>
    </row>
    <row r="86" ht="15.75" customHeight="1">
      <c r="A86" s="220"/>
      <c r="B86" s="65"/>
      <c r="C86" s="65"/>
      <c r="D86" s="65"/>
      <c r="E86" s="65"/>
      <c r="F86" s="218"/>
      <c r="G86" s="219"/>
      <c r="H86" s="67"/>
      <c r="I86" s="218"/>
    </row>
    <row r="87" ht="15.75" customHeight="1">
      <c r="A87" s="220"/>
      <c r="B87" s="65"/>
      <c r="C87" s="65"/>
      <c r="D87" s="65"/>
      <c r="E87" s="65"/>
      <c r="F87" s="218"/>
      <c r="G87" s="219"/>
      <c r="H87" s="67"/>
      <c r="I87" s="218"/>
    </row>
    <row r="88" ht="15.75" customHeight="1">
      <c r="A88" s="220"/>
      <c r="B88" s="65"/>
      <c r="C88" s="65"/>
      <c r="D88" s="65"/>
      <c r="E88" s="65"/>
      <c r="F88" s="218"/>
      <c r="G88" s="219"/>
      <c r="H88" s="67"/>
      <c r="I88" s="218"/>
    </row>
    <row r="89" ht="15.75" customHeight="1">
      <c r="A89" s="220"/>
      <c r="B89" s="65"/>
      <c r="C89" s="65"/>
      <c r="D89" s="65"/>
      <c r="E89" s="65"/>
      <c r="F89" s="218"/>
      <c r="G89" s="219"/>
      <c r="H89" s="67"/>
      <c r="I89" s="218"/>
    </row>
    <row r="90" ht="15.75" customHeight="1">
      <c r="A90" s="220"/>
      <c r="B90" s="65"/>
      <c r="C90" s="65"/>
      <c r="D90" s="65"/>
      <c r="E90" s="65"/>
      <c r="F90" s="218"/>
      <c r="G90" s="219"/>
      <c r="H90" s="67"/>
      <c r="I90" s="218"/>
    </row>
    <row r="91" ht="15.75" customHeight="1">
      <c r="A91" s="220"/>
      <c r="B91" s="65"/>
      <c r="C91" s="65"/>
      <c r="D91" s="65"/>
      <c r="E91" s="65"/>
      <c r="F91" s="218"/>
      <c r="G91" s="219"/>
      <c r="H91" s="67"/>
      <c r="I91" s="218"/>
    </row>
    <row r="92" ht="15.75" customHeight="1">
      <c r="A92" s="65"/>
      <c r="B92" s="65"/>
      <c r="C92" s="65"/>
      <c r="D92" s="65"/>
      <c r="E92" s="65"/>
      <c r="F92" s="66"/>
      <c r="G92" s="219"/>
      <c r="H92" s="67"/>
      <c r="I92" s="218"/>
    </row>
    <row r="93" ht="15.75" customHeight="1">
      <c r="A93" s="65"/>
      <c r="B93" s="65"/>
      <c r="C93" s="65"/>
      <c r="D93" s="65"/>
      <c r="E93" s="65"/>
      <c r="F93" s="218"/>
      <c r="G93" s="219"/>
      <c r="H93" s="67"/>
      <c r="I93" s="218"/>
    </row>
    <row r="94" ht="15.75" customHeight="1">
      <c r="A94" s="65"/>
      <c r="B94" s="65"/>
      <c r="C94" s="65"/>
      <c r="D94" s="65"/>
      <c r="E94" s="65"/>
      <c r="F94" s="218"/>
      <c r="G94" s="219"/>
      <c r="H94" s="67"/>
      <c r="I94" s="218"/>
    </row>
    <row r="95" ht="15.75" customHeight="1">
      <c r="A95" s="220"/>
      <c r="B95" s="65"/>
      <c r="C95" s="65"/>
      <c r="D95" s="65"/>
      <c r="E95" s="65"/>
      <c r="F95" s="218"/>
      <c r="G95" s="219"/>
      <c r="H95" s="67"/>
      <c r="I95" s="218"/>
    </row>
    <row r="96" ht="15.75" customHeight="1">
      <c r="A96" s="220"/>
      <c r="B96" s="65"/>
      <c r="C96" s="65"/>
      <c r="D96" s="65"/>
      <c r="E96" s="65"/>
      <c r="F96" s="218"/>
      <c r="G96" s="219"/>
      <c r="H96" s="67"/>
      <c r="I96" s="218"/>
    </row>
    <row r="97" ht="15.75" customHeight="1">
      <c r="A97" s="65"/>
      <c r="B97" s="65"/>
      <c r="C97" s="65"/>
      <c r="D97" s="65"/>
      <c r="E97" s="65"/>
      <c r="F97" s="218"/>
      <c r="G97" s="219"/>
      <c r="H97" s="67"/>
      <c r="I97" s="218"/>
    </row>
    <row r="98" ht="15.75" customHeight="1">
      <c r="A98" s="65"/>
      <c r="B98" s="65"/>
      <c r="C98" s="65"/>
      <c r="D98" s="65"/>
      <c r="E98" s="65"/>
      <c r="F98" s="218"/>
      <c r="G98" s="219"/>
      <c r="H98" s="67"/>
      <c r="I98" s="218"/>
    </row>
    <row r="99" ht="15.75" customHeight="1">
      <c r="A99" s="65"/>
      <c r="B99" s="65"/>
      <c r="C99" s="65"/>
      <c r="D99" s="65"/>
      <c r="E99" s="65"/>
      <c r="F99" s="218"/>
      <c r="G99" s="219"/>
      <c r="H99" s="67"/>
      <c r="I99" s="218"/>
    </row>
    <row r="100" ht="15.75" customHeight="1">
      <c r="A100" s="23"/>
      <c r="B100" s="23" t="str">
        <f>IFERROR(VLOOKUP($A100, 'Sector Holdings'!$B$3:$C$130, 2, FALSE),"N/A")</f>
        <v>N/A</v>
      </c>
      <c r="F100" s="71"/>
      <c r="G100" s="50"/>
      <c r="H100" s="19" t="str">
        <f>IF(OR(D100="Sell to Trim", D100="Sell to Close"),F100/VLOOKUP(A100, 'Sector Holdings'!$B$3:$M$121, 11, FALSE) - 1, "N/A")</f>
        <v>N/A</v>
      </c>
      <c r="I100" s="71">
        <f t="shared" ref="I100:I101" si="2">F100*E100*-1</f>
        <v>0</v>
      </c>
    </row>
    <row r="101" ht="15.75" customHeight="1">
      <c r="A101" s="23"/>
      <c r="B101" s="23" t="str">
        <f>IFERROR(VLOOKUP($A101, 'Sector Holdings'!$B$3:$C$130, 2, FALSE),"N/A")</f>
        <v>N/A</v>
      </c>
      <c r="F101" s="71"/>
      <c r="G101" s="50"/>
      <c r="H101" s="19" t="str">
        <f>IF(OR(D101="Sell to Trim", D101="Sell to Close"),F101/VLOOKUP(A101, 'Sector Holdings'!$B$3:$M$121, 11, FALSE) - 1, "N/A")</f>
        <v>N/A</v>
      </c>
      <c r="I101" s="71">
        <f t="shared" si="2"/>
        <v>0</v>
      </c>
    </row>
    <row r="102" ht="15.75" customHeight="1">
      <c r="A102" s="23"/>
      <c r="F102" s="71"/>
      <c r="G102" s="50"/>
      <c r="H102" s="19"/>
      <c r="I102" s="71"/>
    </row>
    <row r="103" ht="15.75" customHeight="1">
      <c r="F103" s="71"/>
      <c r="G103" s="50"/>
      <c r="H103" s="19"/>
      <c r="I103" s="71"/>
    </row>
    <row r="104" ht="15.75" customHeight="1">
      <c r="F104" s="71"/>
      <c r="G104" s="50"/>
      <c r="H104" s="19"/>
      <c r="I104" s="71"/>
    </row>
    <row r="105" ht="15.75" customHeight="1">
      <c r="A105" s="23"/>
      <c r="B105" s="23"/>
      <c r="C105" s="23"/>
      <c r="D105" s="23"/>
      <c r="E105" s="23"/>
      <c r="F105" s="71"/>
      <c r="G105" s="50"/>
      <c r="H105" s="19"/>
      <c r="I105" s="71"/>
    </row>
    <row r="106" ht="15.75" customHeight="1">
      <c r="A106" s="18"/>
      <c r="B106" s="23"/>
      <c r="C106" s="23"/>
      <c r="D106" s="23"/>
      <c r="E106" s="23"/>
      <c r="F106" s="71"/>
      <c r="G106" s="50"/>
      <c r="H106" s="19"/>
      <c r="I106" s="71"/>
    </row>
    <row r="107" ht="15.75" customHeight="1">
      <c r="A107" s="18"/>
      <c r="B107" s="23"/>
      <c r="C107" s="23"/>
      <c r="D107" s="23"/>
      <c r="E107" s="23"/>
      <c r="F107" s="71"/>
      <c r="G107" s="50"/>
      <c r="H107" s="19"/>
      <c r="I107" s="71"/>
    </row>
    <row r="108" ht="15.75" customHeight="1">
      <c r="A108" s="18"/>
      <c r="B108" s="23"/>
      <c r="C108" s="23"/>
      <c r="D108" s="23"/>
      <c r="E108" s="23"/>
      <c r="F108" s="71"/>
      <c r="G108" s="50"/>
      <c r="H108" s="19"/>
      <c r="I108" s="71"/>
    </row>
    <row r="109" ht="15.75" customHeight="1">
      <c r="A109" s="18"/>
      <c r="B109" s="23"/>
      <c r="C109" s="23"/>
      <c r="D109" s="23"/>
      <c r="E109" s="23"/>
      <c r="F109" s="71"/>
      <c r="G109" s="50"/>
      <c r="H109" s="19"/>
      <c r="I109" s="71"/>
    </row>
    <row r="110" ht="15.75" customHeight="1">
      <c r="A110" s="18"/>
      <c r="B110" s="23"/>
      <c r="C110" s="23"/>
      <c r="D110" s="23"/>
      <c r="E110" s="23"/>
      <c r="F110" s="71"/>
      <c r="G110" s="50"/>
      <c r="H110" s="19"/>
      <c r="I110" s="71"/>
    </row>
    <row r="111" ht="15.75" customHeight="1">
      <c r="A111" s="18"/>
      <c r="B111" s="23"/>
      <c r="C111" s="23"/>
      <c r="D111" s="23"/>
      <c r="E111" s="23"/>
      <c r="F111" s="71"/>
      <c r="G111" s="50"/>
      <c r="H111" s="19"/>
      <c r="I111" s="71"/>
    </row>
    <row r="112" ht="15.75" customHeight="1">
      <c r="A112" s="23"/>
      <c r="B112" s="23"/>
      <c r="C112" s="23"/>
      <c r="D112" s="23"/>
      <c r="E112" s="23"/>
      <c r="F112" s="71"/>
      <c r="G112" s="50"/>
      <c r="H112" s="19"/>
      <c r="I112" s="71"/>
    </row>
    <row r="113" ht="15.75" customHeight="1">
      <c r="A113" s="18"/>
      <c r="B113" s="23"/>
      <c r="C113" s="23"/>
      <c r="D113" s="23"/>
      <c r="E113" s="23"/>
      <c r="F113" s="71"/>
      <c r="G113" s="50"/>
      <c r="H113" s="19"/>
      <c r="I113" s="71"/>
    </row>
    <row r="114" ht="15.75" customHeight="1">
      <c r="A114" s="18"/>
      <c r="B114" s="23"/>
      <c r="C114" s="23"/>
      <c r="D114" s="23"/>
      <c r="E114" s="23"/>
      <c r="F114" s="71"/>
      <c r="G114" s="50"/>
      <c r="H114" s="19"/>
      <c r="I114" s="71"/>
    </row>
    <row r="115" ht="15.75" customHeight="1">
      <c r="A115" s="18"/>
      <c r="B115" s="23"/>
      <c r="C115" s="23"/>
      <c r="D115" s="23"/>
      <c r="E115" s="23"/>
      <c r="F115" s="71"/>
      <c r="G115" s="50"/>
      <c r="H115" s="19"/>
      <c r="I115" s="71"/>
    </row>
    <row r="116" ht="15.75" customHeight="1">
      <c r="A116" s="18"/>
      <c r="B116" s="23"/>
      <c r="C116" s="23"/>
      <c r="D116" s="23"/>
      <c r="E116" s="23"/>
      <c r="F116" s="71"/>
      <c r="G116" s="50"/>
      <c r="H116" s="19"/>
      <c r="I116" s="71"/>
    </row>
    <row r="117" ht="15.75" customHeight="1">
      <c r="A117" s="18"/>
      <c r="B117" s="23"/>
      <c r="C117" s="23"/>
      <c r="D117" s="23"/>
      <c r="E117" s="23"/>
      <c r="F117" s="71"/>
      <c r="G117" s="50"/>
      <c r="H117" s="19"/>
      <c r="I117" s="71"/>
    </row>
    <row r="118" ht="15.75" customHeight="1">
      <c r="A118" s="18"/>
      <c r="B118" s="23"/>
      <c r="C118" s="23"/>
      <c r="D118" s="23"/>
      <c r="E118" s="23"/>
      <c r="F118" s="71"/>
      <c r="G118" s="50"/>
      <c r="H118" s="19"/>
      <c r="I118" s="71"/>
    </row>
    <row r="119" ht="15.75" customHeight="1">
      <c r="A119" s="18"/>
      <c r="B119" s="23"/>
      <c r="C119" s="23"/>
      <c r="D119" s="23"/>
      <c r="E119" s="23"/>
      <c r="F119" s="71"/>
      <c r="G119" s="50"/>
      <c r="H119" s="19"/>
      <c r="I119" s="71"/>
    </row>
    <row r="120" ht="15.75" customHeight="1">
      <c r="A120" s="18"/>
      <c r="B120" s="23"/>
      <c r="C120" s="23"/>
      <c r="D120" s="23"/>
      <c r="E120" s="23"/>
      <c r="F120" s="71"/>
      <c r="G120" s="50"/>
      <c r="H120" s="19"/>
      <c r="I120" s="71"/>
    </row>
    <row r="121" ht="15.75" customHeight="1">
      <c r="A121" s="18"/>
      <c r="B121" s="23"/>
      <c r="C121" s="23"/>
      <c r="D121" s="23"/>
      <c r="E121" s="23"/>
      <c r="F121" s="71"/>
      <c r="G121" s="50"/>
      <c r="H121" s="19"/>
      <c r="I121" s="71"/>
    </row>
    <row r="122" ht="15.75" customHeight="1">
      <c r="A122" s="18"/>
      <c r="B122" s="23"/>
      <c r="C122" s="23"/>
      <c r="D122" s="23"/>
      <c r="E122" s="23"/>
      <c r="F122" s="71"/>
      <c r="G122" s="50"/>
      <c r="H122" s="19"/>
      <c r="I122" s="71"/>
    </row>
    <row r="123" ht="15.75" customHeight="1">
      <c r="A123" s="18"/>
      <c r="B123" s="23"/>
      <c r="C123" s="23"/>
      <c r="D123" s="23"/>
      <c r="E123" s="23"/>
      <c r="F123" s="71"/>
      <c r="G123" s="50"/>
      <c r="H123" s="19"/>
      <c r="I123" s="71"/>
    </row>
    <row r="124" ht="15.75" customHeight="1">
      <c r="A124" s="18"/>
      <c r="B124" s="23"/>
      <c r="C124" s="23"/>
      <c r="D124" s="23"/>
      <c r="E124" s="23"/>
      <c r="F124" s="71"/>
      <c r="G124" s="50"/>
      <c r="H124" s="19"/>
      <c r="I124" s="71"/>
    </row>
    <row r="125" ht="15.75" customHeight="1">
      <c r="A125" s="23"/>
      <c r="B125" s="23"/>
      <c r="C125" s="23"/>
      <c r="D125" s="23"/>
      <c r="E125" s="23"/>
      <c r="F125" s="71"/>
      <c r="G125" s="50"/>
      <c r="H125" s="19"/>
      <c r="I125" s="71"/>
    </row>
    <row r="126" ht="15.75" customHeight="1">
      <c r="F126" s="71"/>
      <c r="G126" s="50"/>
      <c r="H126" s="19"/>
      <c r="I126" s="71"/>
    </row>
    <row r="127" ht="15.75" customHeight="1">
      <c r="A127" s="18"/>
      <c r="F127" s="71"/>
      <c r="G127" s="50"/>
      <c r="H127" s="19"/>
      <c r="I127" s="71"/>
    </row>
    <row r="128" ht="15.75" customHeight="1">
      <c r="A128" s="18"/>
      <c r="F128" s="71"/>
      <c r="G128" s="50"/>
      <c r="H128" s="19"/>
      <c r="I128" s="71"/>
    </row>
    <row r="129" ht="15.75" customHeight="1">
      <c r="A129" s="18"/>
      <c r="F129" s="71"/>
      <c r="G129" s="50"/>
      <c r="H129" s="19"/>
      <c r="I129" s="71"/>
    </row>
    <row r="130" ht="15.75" customHeight="1">
      <c r="A130" s="18"/>
      <c r="F130" s="71"/>
      <c r="G130" s="50"/>
      <c r="H130" s="19"/>
      <c r="I130" s="71"/>
    </row>
    <row r="131" ht="15.75" customHeight="1">
      <c r="A131" s="18"/>
      <c r="F131" s="71"/>
      <c r="G131" s="50"/>
      <c r="H131" s="19"/>
      <c r="I131" s="71"/>
    </row>
    <row r="132" ht="15.75" customHeight="1">
      <c r="F132" s="71"/>
      <c r="G132" s="50"/>
      <c r="H132" s="19"/>
      <c r="I132" s="71"/>
    </row>
    <row r="133" ht="15.75" customHeight="1">
      <c r="F133" s="71"/>
      <c r="G133" s="50"/>
      <c r="H133" s="19"/>
      <c r="I133" s="71"/>
    </row>
    <row r="134" ht="15.75" customHeight="1">
      <c r="A134" s="18"/>
      <c r="F134" s="71"/>
      <c r="G134" s="50"/>
      <c r="H134" s="19"/>
      <c r="I134" s="71"/>
    </row>
    <row r="135" ht="15.75" customHeight="1">
      <c r="A135" s="23"/>
      <c r="B135" s="23"/>
      <c r="C135" s="23"/>
      <c r="D135" s="23"/>
      <c r="E135" s="23"/>
      <c r="F135" s="71"/>
      <c r="G135" s="50"/>
      <c r="H135" s="19"/>
      <c r="I135" s="71"/>
    </row>
    <row r="136" ht="15.75" customHeight="1">
      <c r="A136" s="23"/>
      <c r="B136" s="23"/>
      <c r="C136" s="23"/>
      <c r="D136" s="23"/>
      <c r="E136" s="23"/>
      <c r="F136" s="71"/>
      <c r="G136" s="50"/>
      <c r="H136" s="19"/>
      <c r="I136" s="71"/>
    </row>
    <row r="137" ht="15.75" customHeight="1">
      <c r="A137" s="18"/>
      <c r="B137" s="23"/>
      <c r="C137" s="23"/>
      <c r="D137" s="23"/>
      <c r="E137" s="23"/>
      <c r="F137" s="71"/>
      <c r="G137" s="50"/>
      <c r="H137" s="19"/>
      <c r="I137" s="71"/>
    </row>
    <row r="138" ht="15.75" customHeight="1">
      <c r="A138" s="23"/>
      <c r="B138" s="23"/>
      <c r="C138" s="23"/>
      <c r="D138" s="23"/>
      <c r="E138" s="23"/>
      <c r="F138" s="71"/>
      <c r="G138" s="50"/>
      <c r="H138" s="19"/>
      <c r="I138" s="71"/>
    </row>
    <row r="139" ht="15.75" customHeight="1">
      <c r="A139" s="23"/>
      <c r="B139" s="23"/>
      <c r="C139" s="23"/>
      <c r="D139" s="23"/>
      <c r="E139" s="23"/>
      <c r="F139" s="71"/>
      <c r="G139" s="50"/>
      <c r="H139" s="19"/>
      <c r="I139" s="71"/>
    </row>
    <row r="140" ht="15.75" customHeight="1">
      <c r="A140" s="18"/>
      <c r="B140" s="23"/>
      <c r="C140" s="23"/>
      <c r="D140" s="23"/>
      <c r="E140" s="23"/>
      <c r="F140" s="71"/>
      <c r="G140" s="50"/>
      <c r="H140" s="19"/>
      <c r="I140" s="71"/>
    </row>
    <row r="141" ht="15.75" customHeight="1">
      <c r="F141" s="71"/>
      <c r="G141" s="50"/>
      <c r="H141" s="19"/>
      <c r="I141" s="71"/>
    </row>
    <row r="142" ht="15.75" customHeight="1">
      <c r="F142" s="71"/>
      <c r="G142" s="50"/>
      <c r="H142" s="19"/>
      <c r="I142" s="71"/>
    </row>
    <row r="143" ht="15.75" customHeight="1">
      <c r="F143" s="71"/>
      <c r="G143" s="50"/>
      <c r="H143" s="19"/>
      <c r="I143" s="71"/>
    </row>
    <row r="144" ht="15.75" customHeight="1">
      <c r="F144" s="71"/>
      <c r="G144" s="50"/>
      <c r="H144" s="19"/>
      <c r="I144" s="71"/>
    </row>
    <row r="145" ht="15.75" customHeight="1">
      <c r="F145" s="71"/>
      <c r="G145" s="50"/>
      <c r="H145" s="19"/>
      <c r="I145" s="71"/>
    </row>
    <row r="146" ht="15.75" customHeight="1">
      <c r="F146" s="71"/>
      <c r="G146" s="50"/>
      <c r="H146" s="19"/>
      <c r="I146" s="71"/>
    </row>
    <row r="147" ht="15.75" customHeight="1">
      <c r="F147" s="71"/>
      <c r="G147" s="50"/>
      <c r="H147" s="19"/>
      <c r="I147" s="71"/>
    </row>
    <row r="148" ht="15.75" customHeight="1">
      <c r="F148" s="71"/>
      <c r="G148" s="50"/>
      <c r="H148" s="19"/>
      <c r="I148" s="71"/>
    </row>
    <row r="149" ht="15.75" customHeight="1">
      <c r="F149" s="71"/>
      <c r="G149" s="50"/>
      <c r="H149" s="19"/>
      <c r="I149" s="71"/>
    </row>
    <row r="150" ht="15.75" customHeight="1">
      <c r="F150" s="71"/>
      <c r="G150" s="50"/>
      <c r="H150" s="19"/>
      <c r="I150" s="71"/>
    </row>
    <row r="151" ht="15.75" customHeight="1">
      <c r="F151" s="71"/>
      <c r="G151" s="50"/>
      <c r="H151" s="19"/>
      <c r="I151" s="71"/>
    </row>
    <row r="152" ht="15.75" customHeight="1">
      <c r="F152" s="71"/>
      <c r="G152" s="50"/>
      <c r="H152" s="19"/>
      <c r="I152" s="71"/>
    </row>
    <row r="153" ht="15.75" customHeight="1">
      <c r="F153" s="71"/>
      <c r="G153" s="50"/>
      <c r="H153" s="19"/>
      <c r="I153" s="71"/>
    </row>
    <row r="154" ht="15.75" customHeight="1">
      <c r="F154" s="71"/>
      <c r="G154" s="50"/>
      <c r="H154" s="19"/>
      <c r="I154" s="71"/>
    </row>
    <row r="155" ht="15.75" customHeight="1">
      <c r="F155" s="71"/>
      <c r="G155" s="50"/>
      <c r="H155" s="19"/>
      <c r="I155" s="71"/>
    </row>
    <row r="156" ht="15.75" customHeight="1">
      <c r="F156" s="71"/>
      <c r="G156" s="50"/>
      <c r="H156" s="19"/>
      <c r="I156" s="71"/>
    </row>
    <row r="157" ht="15.75" customHeight="1">
      <c r="F157" s="71"/>
      <c r="G157" s="50"/>
      <c r="H157" s="19"/>
      <c r="I157" s="71"/>
    </row>
    <row r="158" ht="15.75" customHeight="1">
      <c r="F158" s="71"/>
      <c r="G158" s="50"/>
      <c r="H158" s="19"/>
      <c r="I158" s="71"/>
    </row>
    <row r="159" ht="15.75" customHeight="1">
      <c r="F159" s="71"/>
      <c r="G159" s="50"/>
      <c r="H159" s="19"/>
      <c r="I159" s="71"/>
    </row>
    <row r="160" ht="15.75" customHeight="1">
      <c r="F160" s="71"/>
      <c r="G160" s="50"/>
      <c r="H160" s="19"/>
      <c r="I160" s="71"/>
    </row>
    <row r="161" ht="15.75" customHeight="1">
      <c r="A161" s="23"/>
      <c r="B161" s="23"/>
      <c r="C161" s="23"/>
      <c r="D161" s="23"/>
      <c r="E161" s="23"/>
      <c r="F161" s="71"/>
      <c r="G161" s="50"/>
      <c r="H161" s="19"/>
      <c r="I161" s="71"/>
    </row>
    <row r="162" ht="15.75" customHeight="1">
      <c r="A162" s="23"/>
      <c r="B162" s="23"/>
      <c r="C162" s="23"/>
      <c r="D162" s="23"/>
      <c r="E162" s="23"/>
      <c r="F162" s="71"/>
      <c r="G162" s="50"/>
      <c r="H162" s="19"/>
      <c r="I162" s="71"/>
    </row>
    <row r="163" ht="15.75" customHeight="1">
      <c r="A163" s="23"/>
      <c r="B163" s="23"/>
      <c r="C163" s="23"/>
      <c r="D163" s="23"/>
      <c r="E163" s="23"/>
      <c r="F163" s="71"/>
      <c r="G163" s="50"/>
      <c r="H163" s="19"/>
      <c r="I163" s="71"/>
    </row>
    <row r="164" ht="15.75" customHeight="1">
      <c r="A164" s="23"/>
      <c r="B164" s="23"/>
      <c r="C164" s="23"/>
      <c r="D164" s="23"/>
      <c r="E164" s="23"/>
      <c r="F164" s="71"/>
      <c r="G164" s="50"/>
      <c r="H164" s="19"/>
      <c r="I164" s="71"/>
    </row>
    <row r="165" ht="15.75" customHeight="1">
      <c r="A165" s="23"/>
      <c r="B165" s="23"/>
      <c r="C165" s="23"/>
      <c r="D165" s="23"/>
      <c r="E165" s="23"/>
      <c r="F165" s="71"/>
      <c r="G165" s="50"/>
      <c r="H165" s="19"/>
      <c r="I165" s="71"/>
    </row>
    <row r="166" ht="15.75" customHeight="1">
      <c r="A166" s="23"/>
      <c r="B166" s="23"/>
      <c r="C166" s="23"/>
      <c r="D166" s="23"/>
      <c r="E166" s="23"/>
      <c r="F166" s="71"/>
      <c r="G166" s="50"/>
      <c r="H166" s="19"/>
      <c r="I166" s="71"/>
    </row>
    <row r="167" ht="15.75" customHeight="1">
      <c r="A167" s="23"/>
      <c r="B167" s="23"/>
      <c r="C167" s="23"/>
      <c r="D167" s="23"/>
      <c r="E167" s="23"/>
      <c r="F167" s="71"/>
      <c r="G167" s="50"/>
      <c r="H167" s="19"/>
      <c r="I167" s="71"/>
    </row>
    <row r="168" ht="15.75" customHeight="1">
      <c r="B168" s="23" t="str">
        <f>IFERROR(VLOOKUP($A168, 'Sector Holdings'!$B$3:$C$130, 2, FALSE),"N/A")</f>
        <v>N/A</v>
      </c>
      <c r="F168" s="71"/>
      <c r="G168" s="50"/>
      <c r="H168" s="19" t="str">
        <f>IF(OR(D168="Sell to Trim", D168="Sell to Close"),F168/VLOOKUP(A168, 'Sector Holdings'!$B$3:$M$121, 11, FALSE) - 1, "N/A")</f>
        <v>N/A</v>
      </c>
      <c r="I168" s="71">
        <f>F168*E168*-1</f>
        <v>0</v>
      </c>
    </row>
    <row r="169" ht="15.75" customHeight="1">
      <c r="F169" s="71"/>
      <c r="G169" s="50"/>
      <c r="H169" s="19"/>
      <c r="I169" s="71"/>
    </row>
    <row r="170" ht="15.75" customHeight="1">
      <c r="F170" s="71"/>
      <c r="G170" s="50"/>
      <c r="H170" s="19"/>
      <c r="I170" s="71"/>
    </row>
    <row r="171" ht="15.75" customHeight="1">
      <c r="F171" s="71"/>
      <c r="G171" s="50"/>
      <c r="H171" s="19"/>
      <c r="I171" s="71"/>
    </row>
    <row r="172" ht="15.75" customHeight="1">
      <c r="F172" s="71"/>
      <c r="G172" s="50"/>
      <c r="H172" s="19"/>
      <c r="I172" s="71"/>
    </row>
    <row r="173" ht="15.75" customHeight="1">
      <c r="F173" s="71"/>
      <c r="G173" s="50"/>
      <c r="H173" s="19"/>
      <c r="I173" s="71"/>
    </row>
    <row r="174" ht="15.75" customHeight="1">
      <c r="F174" s="71"/>
      <c r="G174" s="50"/>
      <c r="H174" s="19"/>
      <c r="I174" s="71"/>
    </row>
    <row r="175" ht="15.75" customHeight="1">
      <c r="F175" s="71"/>
      <c r="G175" s="50"/>
      <c r="H175" s="19"/>
      <c r="I175" s="71"/>
    </row>
    <row r="176" ht="15.75" customHeight="1">
      <c r="F176" s="71"/>
      <c r="G176" s="50"/>
      <c r="H176" s="19"/>
      <c r="I176" s="71"/>
    </row>
    <row r="177" ht="15.75" customHeight="1">
      <c r="F177" s="71"/>
      <c r="G177" s="50"/>
      <c r="H177" s="19"/>
      <c r="I177" s="71"/>
    </row>
    <row r="178" ht="15.75" customHeight="1">
      <c r="F178" s="71"/>
      <c r="G178" s="50"/>
      <c r="H178" s="19"/>
      <c r="I178" s="71"/>
    </row>
    <row r="179" ht="15.75" customHeight="1">
      <c r="F179" s="71"/>
      <c r="G179" s="50"/>
      <c r="H179" s="19"/>
      <c r="I179" s="71"/>
    </row>
    <row r="180" ht="15.75" customHeight="1">
      <c r="F180" s="71"/>
      <c r="G180" s="50"/>
      <c r="H180" s="19"/>
      <c r="I180" s="71"/>
    </row>
    <row r="181" ht="15.75" customHeight="1">
      <c r="F181" s="71"/>
      <c r="G181" s="50"/>
      <c r="H181" s="19"/>
      <c r="I181" s="71"/>
    </row>
    <row r="182" ht="15.75" customHeight="1">
      <c r="F182" s="71"/>
      <c r="G182" s="50"/>
      <c r="H182" s="19"/>
      <c r="I182" s="71"/>
    </row>
    <row r="183" ht="15.75" customHeight="1">
      <c r="F183" s="71"/>
      <c r="G183" s="50"/>
      <c r="H183" s="19"/>
      <c r="I183" s="71"/>
    </row>
    <row r="184" ht="15.75" customHeight="1">
      <c r="F184" s="71"/>
      <c r="G184" s="50"/>
      <c r="H184" s="19"/>
      <c r="I184" s="71"/>
    </row>
    <row r="185" ht="15.75" customHeight="1">
      <c r="F185" s="71"/>
      <c r="G185" s="50"/>
      <c r="H185" s="19"/>
      <c r="I185" s="71"/>
    </row>
    <row r="186" ht="15.75" customHeight="1">
      <c r="F186" s="71"/>
      <c r="G186" s="50"/>
      <c r="H186" s="19"/>
      <c r="I186" s="71"/>
    </row>
    <row r="187" ht="15.75" customHeight="1">
      <c r="F187" s="71"/>
      <c r="G187" s="50"/>
      <c r="H187" s="19"/>
      <c r="I187" s="71"/>
    </row>
    <row r="188" ht="15.75" customHeight="1">
      <c r="F188" s="71"/>
      <c r="G188" s="50"/>
      <c r="H188" s="19"/>
      <c r="I188" s="71"/>
    </row>
    <row r="189" ht="15.75" customHeight="1">
      <c r="F189" s="71"/>
      <c r="G189" s="50"/>
      <c r="H189" s="19"/>
      <c r="I189" s="71"/>
    </row>
    <row r="190" ht="15.75" customHeight="1">
      <c r="F190" s="71"/>
      <c r="G190" s="50"/>
      <c r="H190" s="19"/>
      <c r="I190" s="71"/>
    </row>
    <row r="191" ht="15.75" customHeight="1">
      <c r="F191" s="71"/>
      <c r="G191" s="50"/>
      <c r="H191" s="19"/>
      <c r="I191" s="71"/>
    </row>
    <row r="192" ht="15.75" customHeight="1">
      <c r="F192" s="71"/>
      <c r="G192" s="50"/>
      <c r="H192" s="19"/>
      <c r="I192" s="71"/>
    </row>
    <row r="193" ht="15.75" customHeight="1">
      <c r="F193" s="71"/>
      <c r="G193" s="50"/>
      <c r="H193" s="19"/>
      <c r="I193" s="71"/>
    </row>
    <row r="194" ht="15.75" customHeight="1">
      <c r="F194" s="71"/>
      <c r="G194" s="50"/>
      <c r="H194" s="19"/>
      <c r="I194" s="71"/>
    </row>
    <row r="195" ht="15.75" customHeight="1">
      <c r="F195" s="71"/>
      <c r="G195" s="50"/>
      <c r="H195" s="19"/>
      <c r="I195" s="71"/>
    </row>
    <row r="196" ht="15.75" customHeight="1">
      <c r="F196" s="71"/>
      <c r="G196" s="50"/>
      <c r="H196" s="19"/>
      <c r="I196" s="71"/>
    </row>
    <row r="197" ht="15.75" customHeight="1">
      <c r="F197" s="71"/>
      <c r="G197" s="50"/>
      <c r="H197" s="19"/>
      <c r="I197" s="71"/>
    </row>
    <row r="198" ht="15.75" customHeight="1">
      <c r="F198" s="71"/>
      <c r="G198" s="50"/>
      <c r="H198" s="19"/>
      <c r="I198" s="71"/>
    </row>
    <row r="199" ht="15.75" customHeight="1">
      <c r="F199" s="71"/>
      <c r="G199" s="50"/>
      <c r="H199" s="19"/>
      <c r="I199" s="71"/>
    </row>
    <row r="200" ht="15.75" customHeight="1">
      <c r="F200" s="71"/>
      <c r="G200" s="50"/>
      <c r="H200" s="19"/>
      <c r="I200" s="71"/>
    </row>
    <row r="201" ht="15.75" customHeight="1">
      <c r="F201" s="71"/>
      <c r="G201" s="50"/>
      <c r="H201" s="19"/>
      <c r="I201" s="71"/>
    </row>
    <row r="202" ht="15.75" customHeight="1">
      <c r="F202" s="71"/>
      <c r="G202" s="50"/>
      <c r="H202" s="19"/>
      <c r="I202" s="71"/>
    </row>
    <row r="203" ht="15.75" customHeight="1">
      <c r="F203" s="71"/>
      <c r="G203" s="50"/>
      <c r="H203" s="19"/>
      <c r="I203" s="71"/>
    </row>
    <row r="204" ht="15.75" customHeight="1">
      <c r="F204" s="71"/>
      <c r="G204" s="50"/>
      <c r="H204" s="19"/>
      <c r="I204" s="71"/>
    </row>
    <row r="205" ht="15.75" customHeight="1">
      <c r="F205" s="71"/>
      <c r="G205" s="50"/>
      <c r="H205" s="19"/>
      <c r="I205" s="71"/>
    </row>
    <row r="206" ht="15.75" customHeight="1">
      <c r="F206" s="71"/>
      <c r="G206" s="50"/>
      <c r="H206" s="19"/>
      <c r="I206" s="71"/>
    </row>
    <row r="207" ht="15.75" customHeight="1">
      <c r="F207" s="71"/>
      <c r="G207" s="50"/>
      <c r="H207" s="19"/>
      <c r="I207" s="71"/>
    </row>
    <row r="208" ht="15.75" customHeight="1">
      <c r="F208" s="71"/>
      <c r="G208" s="50"/>
      <c r="H208" s="19"/>
      <c r="I208" s="71"/>
    </row>
    <row r="209" ht="15.75" customHeight="1">
      <c r="F209" s="71"/>
      <c r="G209" s="50"/>
      <c r="H209" s="19"/>
      <c r="I209" s="71"/>
    </row>
    <row r="210" ht="15.75" customHeight="1">
      <c r="F210" s="71"/>
      <c r="G210" s="50"/>
      <c r="H210" s="19"/>
      <c r="I210" s="71"/>
    </row>
    <row r="211" ht="15.75" customHeight="1">
      <c r="F211" s="71"/>
      <c r="G211" s="50"/>
      <c r="H211" s="19"/>
      <c r="I211" s="71"/>
    </row>
    <row r="212" ht="15.75" customHeight="1">
      <c r="F212" s="71"/>
      <c r="G212" s="50"/>
      <c r="H212" s="19"/>
      <c r="I212" s="71"/>
    </row>
    <row r="213" ht="15.75" customHeight="1">
      <c r="F213" s="71"/>
      <c r="G213" s="50"/>
      <c r="H213" s="19"/>
      <c r="I213" s="71"/>
    </row>
    <row r="214" ht="15.75" customHeight="1">
      <c r="F214" s="71"/>
      <c r="G214" s="50"/>
      <c r="H214" s="19"/>
      <c r="I214" s="71"/>
    </row>
    <row r="215" ht="15.75" customHeight="1">
      <c r="F215" s="71"/>
      <c r="G215" s="50"/>
      <c r="H215" s="19"/>
      <c r="I215" s="71"/>
    </row>
    <row r="216" ht="15.75" customHeight="1">
      <c r="F216" s="71"/>
      <c r="G216" s="50"/>
      <c r="H216" s="19"/>
      <c r="I216" s="71"/>
    </row>
    <row r="217" ht="15.75" customHeight="1">
      <c r="F217" s="71"/>
      <c r="G217" s="50"/>
      <c r="H217" s="19"/>
      <c r="I217" s="71"/>
    </row>
    <row r="218" ht="15.75" customHeight="1">
      <c r="F218" s="71"/>
      <c r="G218" s="50"/>
      <c r="H218" s="19"/>
      <c r="I218" s="71"/>
    </row>
    <row r="219" ht="15.75" customHeight="1">
      <c r="F219" s="71"/>
      <c r="G219" s="50"/>
      <c r="H219" s="19"/>
      <c r="I219" s="71"/>
    </row>
    <row r="220" ht="15.75" customHeight="1">
      <c r="F220" s="71"/>
      <c r="G220" s="50"/>
      <c r="H220" s="19"/>
      <c r="I220" s="71"/>
    </row>
    <row r="221" ht="15.75" customHeight="1">
      <c r="F221" s="71"/>
      <c r="G221" s="50"/>
      <c r="H221" s="19"/>
      <c r="I221" s="71"/>
    </row>
    <row r="222" ht="15.75" customHeight="1">
      <c r="F222" s="71"/>
      <c r="G222" s="50"/>
      <c r="H222" s="19"/>
      <c r="I222" s="71"/>
    </row>
    <row r="223" ht="15.75" customHeight="1">
      <c r="F223" s="71"/>
      <c r="G223" s="50"/>
      <c r="H223" s="19"/>
      <c r="I223" s="71"/>
    </row>
    <row r="224" ht="15.75" customHeight="1">
      <c r="F224" s="71"/>
      <c r="G224" s="50"/>
      <c r="H224" s="19"/>
      <c r="I224" s="71"/>
    </row>
    <row r="225" ht="15.75" customHeight="1">
      <c r="F225" s="71"/>
      <c r="G225" s="50"/>
      <c r="H225" s="19"/>
      <c r="I225" s="71"/>
    </row>
    <row r="226" ht="15.75" customHeight="1">
      <c r="F226" s="71"/>
      <c r="G226" s="50"/>
      <c r="H226" s="19"/>
      <c r="I226" s="71"/>
    </row>
    <row r="227" ht="15.75" customHeight="1">
      <c r="F227" s="71"/>
      <c r="G227" s="50"/>
      <c r="H227" s="19"/>
      <c r="I227" s="71"/>
    </row>
    <row r="228" ht="15.75" customHeight="1">
      <c r="F228" s="71"/>
      <c r="G228" s="50"/>
      <c r="H228" s="19"/>
      <c r="I228" s="71"/>
    </row>
    <row r="229" ht="15.75" customHeight="1">
      <c r="F229" s="71"/>
      <c r="G229" s="50"/>
      <c r="H229" s="19"/>
      <c r="I229" s="71"/>
    </row>
    <row r="230" ht="15.75" customHeight="1">
      <c r="F230" s="71"/>
      <c r="G230" s="50"/>
      <c r="H230" s="19"/>
      <c r="I230" s="71"/>
    </row>
    <row r="231" ht="15.75" customHeight="1">
      <c r="F231" s="71"/>
      <c r="G231" s="50"/>
      <c r="H231" s="19"/>
      <c r="I231" s="71"/>
    </row>
    <row r="232" ht="15.75" customHeight="1">
      <c r="F232" s="71"/>
      <c r="G232" s="50"/>
      <c r="H232" s="19"/>
      <c r="I232" s="71"/>
    </row>
    <row r="233" ht="15.75" customHeight="1">
      <c r="F233" s="71"/>
      <c r="G233" s="50"/>
      <c r="H233" s="19"/>
      <c r="I233" s="71"/>
    </row>
    <row r="234" ht="15.75" customHeight="1">
      <c r="F234" s="71"/>
      <c r="G234" s="50"/>
      <c r="H234" s="19"/>
      <c r="I234" s="71"/>
    </row>
    <row r="235" ht="15.75" customHeight="1">
      <c r="F235" s="71"/>
      <c r="G235" s="50"/>
      <c r="H235" s="19"/>
      <c r="I235" s="71"/>
    </row>
    <row r="236" ht="15.75" customHeight="1">
      <c r="F236" s="71"/>
      <c r="G236" s="50"/>
      <c r="H236" s="19"/>
      <c r="I236" s="71"/>
    </row>
    <row r="237" ht="15.75" customHeight="1">
      <c r="F237" s="71"/>
      <c r="G237" s="50"/>
      <c r="H237" s="19"/>
      <c r="I237" s="71"/>
    </row>
    <row r="238" ht="15.75" customHeight="1">
      <c r="F238" s="71"/>
      <c r="G238" s="50"/>
      <c r="H238" s="19"/>
      <c r="I238" s="71"/>
    </row>
    <row r="239" ht="15.75" customHeight="1">
      <c r="F239" s="71"/>
      <c r="G239" s="50"/>
      <c r="H239" s="19"/>
      <c r="I239" s="71"/>
    </row>
    <row r="240" ht="15.75" customHeight="1">
      <c r="F240" s="71"/>
      <c r="G240" s="50"/>
      <c r="H240" s="19"/>
      <c r="I240" s="71"/>
    </row>
    <row r="241" ht="15.75" customHeight="1">
      <c r="F241" s="71"/>
      <c r="G241" s="50"/>
      <c r="H241" s="19"/>
      <c r="I241" s="71"/>
    </row>
    <row r="242" ht="15.75" customHeight="1">
      <c r="F242" s="71"/>
      <c r="G242" s="50"/>
      <c r="H242" s="19"/>
      <c r="I242" s="71"/>
    </row>
    <row r="243" ht="15.75" customHeight="1">
      <c r="F243" s="71"/>
      <c r="G243" s="50"/>
      <c r="H243" s="19"/>
      <c r="I243" s="71"/>
    </row>
    <row r="244" ht="15.75" customHeight="1">
      <c r="F244" s="71"/>
      <c r="G244" s="50"/>
      <c r="H244" s="19"/>
      <c r="I244" s="71"/>
    </row>
    <row r="245" ht="15.75" customHeight="1">
      <c r="F245" s="71"/>
      <c r="G245" s="50"/>
      <c r="H245" s="19"/>
      <c r="I245" s="71"/>
    </row>
    <row r="246" ht="15.75" customHeight="1">
      <c r="F246" s="71"/>
      <c r="G246" s="50"/>
      <c r="H246" s="19"/>
      <c r="I246" s="71"/>
    </row>
    <row r="247" ht="15.75" customHeight="1">
      <c r="F247" s="71"/>
      <c r="G247" s="50"/>
      <c r="H247" s="19"/>
      <c r="I247" s="71"/>
    </row>
    <row r="248" ht="15.75" customHeight="1">
      <c r="F248" s="71"/>
      <c r="G248" s="50"/>
      <c r="H248" s="19"/>
      <c r="I248" s="71"/>
    </row>
    <row r="249" ht="15.75" customHeight="1">
      <c r="F249" s="71"/>
      <c r="G249" s="50"/>
      <c r="H249" s="19"/>
      <c r="I249" s="71"/>
    </row>
    <row r="250" ht="15.75" customHeight="1">
      <c r="F250" s="71"/>
      <c r="G250" s="50"/>
      <c r="H250" s="19"/>
      <c r="I250" s="71"/>
    </row>
    <row r="251" ht="15.75" customHeight="1">
      <c r="F251" s="71"/>
      <c r="G251" s="50"/>
      <c r="H251" s="19"/>
      <c r="I251" s="71"/>
    </row>
    <row r="252" ht="15.75" customHeight="1">
      <c r="F252" s="71"/>
      <c r="G252" s="50"/>
      <c r="H252" s="19"/>
      <c r="I252" s="71"/>
    </row>
    <row r="253" ht="15.75" customHeight="1">
      <c r="F253" s="71"/>
      <c r="G253" s="50"/>
      <c r="H253" s="19"/>
      <c r="I253" s="71"/>
    </row>
    <row r="254" ht="15.75" customHeight="1">
      <c r="F254" s="71"/>
      <c r="G254" s="50"/>
      <c r="H254" s="19"/>
      <c r="I254" s="71"/>
    </row>
    <row r="255" ht="15.75" customHeight="1">
      <c r="F255" s="71"/>
      <c r="G255" s="50"/>
      <c r="H255" s="19"/>
      <c r="I255" s="71"/>
    </row>
    <row r="256" ht="15.75" customHeight="1">
      <c r="F256" s="71"/>
      <c r="G256" s="50"/>
      <c r="H256" s="19"/>
      <c r="I256" s="71"/>
    </row>
    <row r="257" ht="15.75" customHeight="1">
      <c r="F257" s="71"/>
      <c r="G257" s="50"/>
      <c r="H257" s="19"/>
      <c r="I257" s="71"/>
    </row>
    <row r="258" ht="15.75" customHeight="1">
      <c r="F258" s="71"/>
      <c r="G258" s="50"/>
      <c r="H258" s="19"/>
      <c r="I258" s="71"/>
    </row>
    <row r="259" ht="15.75" customHeight="1">
      <c r="F259" s="71"/>
      <c r="G259" s="50"/>
      <c r="H259" s="19"/>
      <c r="I259" s="71"/>
    </row>
    <row r="260" ht="15.75" customHeight="1">
      <c r="F260" s="71"/>
      <c r="G260" s="50"/>
      <c r="H260" s="19"/>
      <c r="I260" s="71"/>
    </row>
    <row r="261" ht="15.75" customHeight="1">
      <c r="F261" s="71"/>
      <c r="G261" s="50"/>
      <c r="H261" s="19"/>
      <c r="I261" s="71"/>
    </row>
    <row r="262" ht="15.75" customHeight="1">
      <c r="F262" s="71"/>
      <c r="G262" s="50"/>
      <c r="H262" s="19"/>
      <c r="I262" s="71"/>
    </row>
    <row r="263" ht="15.75" customHeight="1">
      <c r="F263" s="71"/>
      <c r="G263" s="50"/>
      <c r="H263" s="19"/>
      <c r="I263" s="71"/>
    </row>
    <row r="264" ht="15.75" customHeight="1">
      <c r="F264" s="71"/>
      <c r="G264" s="50"/>
      <c r="H264" s="19"/>
      <c r="I264" s="71"/>
    </row>
    <row r="265" ht="15.75" customHeight="1">
      <c r="F265" s="71"/>
      <c r="G265" s="50"/>
      <c r="H265" s="19"/>
      <c r="I265" s="71"/>
    </row>
    <row r="266" ht="15.75" customHeight="1">
      <c r="F266" s="71"/>
      <c r="G266" s="50"/>
      <c r="H266" s="19"/>
      <c r="I266" s="71"/>
    </row>
    <row r="267" ht="15.75" customHeight="1">
      <c r="F267" s="71"/>
      <c r="G267" s="50"/>
      <c r="H267" s="19"/>
      <c r="I267" s="71"/>
    </row>
    <row r="268" ht="15.75" customHeight="1">
      <c r="F268" s="71"/>
      <c r="G268" s="50"/>
      <c r="H268" s="19"/>
      <c r="I268" s="71"/>
    </row>
    <row r="269" ht="15.75" customHeight="1">
      <c r="F269" s="71"/>
      <c r="G269" s="50"/>
      <c r="H269" s="19"/>
      <c r="I269" s="71"/>
    </row>
    <row r="270" ht="15.75" customHeight="1">
      <c r="F270" s="71"/>
      <c r="G270" s="50"/>
      <c r="H270" s="19"/>
      <c r="I270" s="71"/>
    </row>
    <row r="271" ht="15.75" customHeight="1">
      <c r="F271" s="71"/>
      <c r="G271" s="50"/>
      <c r="H271" s="19"/>
      <c r="I271" s="71"/>
    </row>
    <row r="272" ht="15.75" customHeight="1">
      <c r="F272" s="71"/>
      <c r="G272" s="50"/>
      <c r="H272" s="19"/>
      <c r="I272" s="71"/>
    </row>
    <row r="273" ht="15.75" customHeight="1">
      <c r="F273" s="71"/>
      <c r="G273" s="50"/>
      <c r="H273" s="19"/>
      <c r="I273" s="71"/>
    </row>
    <row r="274" ht="15.75" customHeight="1">
      <c r="F274" s="71"/>
      <c r="G274" s="50"/>
      <c r="H274" s="19"/>
      <c r="I274" s="71"/>
    </row>
    <row r="275" ht="15.75" customHeight="1">
      <c r="F275" s="71"/>
      <c r="G275" s="50"/>
      <c r="H275" s="19"/>
      <c r="I275" s="71"/>
    </row>
    <row r="276" ht="15.75" customHeight="1">
      <c r="F276" s="71"/>
      <c r="G276" s="50"/>
      <c r="H276" s="19"/>
      <c r="I276" s="71"/>
    </row>
    <row r="277" ht="15.75" customHeight="1">
      <c r="F277" s="71"/>
      <c r="G277" s="50"/>
      <c r="H277" s="19"/>
      <c r="I277" s="71"/>
    </row>
    <row r="278" ht="15.75" customHeight="1">
      <c r="F278" s="71"/>
      <c r="G278" s="50"/>
      <c r="H278" s="19"/>
      <c r="I278" s="71"/>
    </row>
    <row r="279" ht="15.75" customHeight="1">
      <c r="F279" s="71"/>
      <c r="G279" s="50"/>
      <c r="H279" s="19"/>
      <c r="I279" s="71"/>
    </row>
    <row r="280" ht="15.75" customHeight="1">
      <c r="F280" s="71"/>
      <c r="G280" s="50"/>
      <c r="H280" s="19"/>
      <c r="I280" s="71"/>
    </row>
    <row r="281" ht="15.75" customHeight="1">
      <c r="F281" s="71"/>
      <c r="G281" s="50"/>
      <c r="H281" s="19"/>
      <c r="I281" s="71"/>
    </row>
    <row r="282" ht="15.75" customHeight="1">
      <c r="F282" s="71"/>
      <c r="G282" s="50"/>
      <c r="H282" s="19"/>
      <c r="I282" s="71"/>
    </row>
    <row r="283" ht="15.75" customHeight="1">
      <c r="F283" s="71"/>
      <c r="G283" s="50"/>
      <c r="H283" s="19"/>
      <c r="I283" s="71"/>
    </row>
    <row r="284" ht="15.75" customHeight="1">
      <c r="F284" s="71"/>
      <c r="G284" s="50"/>
      <c r="H284" s="19"/>
      <c r="I284" s="71"/>
    </row>
    <row r="285" ht="15.75" customHeight="1">
      <c r="F285" s="71"/>
      <c r="G285" s="50"/>
      <c r="H285" s="19"/>
      <c r="I285" s="71"/>
    </row>
    <row r="286" ht="15.75" customHeight="1">
      <c r="F286" s="71"/>
      <c r="G286" s="50"/>
      <c r="H286" s="19"/>
      <c r="I286" s="71"/>
    </row>
    <row r="287" ht="15.75" customHeight="1">
      <c r="F287" s="71"/>
      <c r="G287" s="50"/>
      <c r="H287" s="19"/>
      <c r="I287" s="71"/>
    </row>
    <row r="288" ht="15.75" customHeight="1">
      <c r="F288" s="71"/>
      <c r="G288" s="50"/>
      <c r="H288" s="19"/>
      <c r="I288" s="71"/>
    </row>
    <row r="289" ht="15.75" customHeight="1">
      <c r="F289" s="71"/>
      <c r="G289" s="50"/>
      <c r="H289" s="19"/>
      <c r="I289" s="71"/>
    </row>
    <row r="290" ht="15.75" customHeight="1">
      <c r="F290" s="71"/>
      <c r="G290" s="50"/>
      <c r="H290" s="19"/>
      <c r="I290" s="71"/>
    </row>
    <row r="291" ht="15.75" customHeight="1">
      <c r="F291" s="71"/>
      <c r="G291" s="50"/>
      <c r="H291" s="19"/>
      <c r="I291" s="71"/>
    </row>
    <row r="292" ht="15.75" customHeight="1">
      <c r="F292" s="71"/>
      <c r="G292" s="50"/>
      <c r="H292" s="19"/>
      <c r="I292" s="71"/>
    </row>
    <row r="293" ht="15.75" customHeight="1">
      <c r="F293" s="71"/>
      <c r="G293" s="50"/>
      <c r="H293" s="19"/>
      <c r="I293" s="71"/>
    </row>
    <row r="294" ht="15.75" customHeight="1">
      <c r="F294" s="71"/>
      <c r="G294" s="50"/>
      <c r="H294" s="19"/>
      <c r="I294" s="71"/>
    </row>
    <row r="295" ht="15.75" customHeight="1">
      <c r="F295" s="71"/>
      <c r="G295" s="50"/>
      <c r="H295" s="19"/>
      <c r="I295" s="71"/>
    </row>
    <row r="296" ht="15.75" customHeight="1">
      <c r="F296" s="71"/>
      <c r="G296" s="50"/>
      <c r="H296" s="19"/>
      <c r="I296" s="71"/>
    </row>
    <row r="297" ht="15.75" customHeight="1">
      <c r="F297" s="71"/>
      <c r="G297" s="50"/>
      <c r="H297" s="19"/>
      <c r="I297" s="71"/>
    </row>
    <row r="298" ht="15.75" customHeight="1">
      <c r="F298" s="71"/>
      <c r="G298" s="50"/>
      <c r="H298" s="19"/>
      <c r="I298" s="71"/>
    </row>
    <row r="299" ht="15.75" customHeight="1">
      <c r="F299" s="71"/>
      <c r="G299" s="50"/>
      <c r="H299" s="19"/>
      <c r="I299" s="71"/>
    </row>
    <row r="300" ht="15.75" customHeight="1">
      <c r="F300" s="71"/>
      <c r="G300" s="50"/>
      <c r="H300" s="19"/>
      <c r="I300" s="71"/>
    </row>
    <row r="301" ht="15.75" customHeight="1">
      <c r="F301" s="71"/>
      <c r="G301" s="50"/>
      <c r="H301" s="19"/>
      <c r="I301" s="71"/>
    </row>
    <row r="302" ht="15.75" customHeight="1">
      <c r="F302" s="71"/>
      <c r="G302" s="50"/>
      <c r="H302" s="19"/>
      <c r="I302" s="71"/>
    </row>
    <row r="303" ht="15.75" customHeight="1">
      <c r="F303" s="71"/>
      <c r="G303" s="50"/>
      <c r="H303" s="19"/>
      <c r="I303" s="71"/>
    </row>
    <row r="304" ht="15.75" customHeight="1">
      <c r="F304" s="71"/>
      <c r="G304" s="50"/>
      <c r="H304" s="19"/>
      <c r="I304" s="71"/>
    </row>
    <row r="305" ht="15.75" customHeight="1">
      <c r="F305" s="71"/>
      <c r="G305" s="50"/>
      <c r="H305" s="19"/>
      <c r="I305" s="71"/>
    </row>
    <row r="306" ht="15.75" customHeight="1">
      <c r="F306" s="71"/>
      <c r="G306" s="50"/>
      <c r="H306" s="19"/>
      <c r="I306" s="71"/>
    </row>
    <row r="307" ht="15.75" customHeight="1">
      <c r="F307" s="71"/>
      <c r="G307" s="50"/>
      <c r="H307" s="19"/>
      <c r="I307" s="71"/>
    </row>
    <row r="308" ht="15.75" customHeight="1">
      <c r="F308" s="71"/>
      <c r="G308" s="50"/>
      <c r="H308" s="19"/>
      <c r="I308" s="71"/>
    </row>
    <row r="309" ht="15.75" customHeight="1">
      <c r="F309" s="71"/>
      <c r="G309" s="50"/>
      <c r="H309" s="19"/>
      <c r="I309" s="71"/>
    </row>
    <row r="310" ht="15.75" customHeight="1">
      <c r="F310" s="71"/>
      <c r="G310" s="50"/>
      <c r="H310" s="19"/>
      <c r="I310" s="71"/>
    </row>
    <row r="311" ht="15.75" customHeight="1">
      <c r="F311" s="71"/>
      <c r="G311" s="50"/>
      <c r="H311" s="19"/>
      <c r="I311" s="71"/>
    </row>
    <row r="312" ht="15.75" customHeight="1">
      <c r="F312" s="71"/>
      <c r="G312" s="50"/>
      <c r="H312" s="19"/>
      <c r="I312" s="71"/>
    </row>
    <row r="313" ht="15.75" customHeight="1">
      <c r="F313" s="71"/>
      <c r="G313" s="50"/>
      <c r="H313" s="19"/>
      <c r="I313" s="71"/>
    </row>
    <row r="314" ht="15.75" customHeight="1">
      <c r="F314" s="71"/>
      <c r="G314" s="50"/>
      <c r="H314" s="19"/>
      <c r="I314" s="71"/>
    </row>
    <row r="315" ht="15.75" customHeight="1">
      <c r="F315" s="71"/>
      <c r="G315" s="50"/>
      <c r="H315" s="19"/>
      <c r="I315" s="71"/>
    </row>
    <row r="316" ht="15.75" customHeight="1">
      <c r="F316" s="71"/>
      <c r="G316" s="50"/>
      <c r="H316" s="19"/>
      <c r="I316" s="71"/>
    </row>
    <row r="317" ht="15.75" customHeight="1">
      <c r="F317" s="71"/>
      <c r="G317" s="50"/>
      <c r="H317" s="19"/>
      <c r="I317" s="71"/>
    </row>
    <row r="318" ht="15.75" customHeight="1">
      <c r="F318" s="71"/>
      <c r="G318" s="50"/>
      <c r="H318" s="19"/>
      <c r="I318" s="71"/>
    </row>
    <row r="319" ht="15.75" customHeight="1">
      <c r="F319" s="71"/>
      <c r="G319" s="50"/>
      <c r="H319" s="19"/>
      <c r="I319" s="71"/>
    </row>
    <row r="320" ht="15.75" customHeight="1">
      <c r="F320" s="71"/>
      <c r="G320" s="50"/>
      <c r="H320" s="19"/>
      <c r="I320" s="71"/>
    </row>
    <row r="321" ht="15.75" customHeight="1">
      <c r="F321" s="71"/>
      <c r="G321" s="50"/>
      <c r="H321" s="19"/>
      <c r="I321" s="71"/>
    </row>
    <row r="322" ht="15.75" customHeight="1">
      <c r="F322" s="71"/>
      <c r="G322" s="50"/>
      <c r="H322" s="19"/>
      <c r="I322" s="71"/>
    </row>
    <row r="323" ht="15.75" customHeight="1">
      <c r="F323" s="71"/>
      <c r="G323" s="50"/>
      <c r="H323" s="19"/>
      <c r="I323" s="71"/>
    </row>
    <row r="324" ht="15.75" customHeight="1">
      <c r="F324" s="71"/>
      <c r="G324" s="50"/>
      <c r="H324" s="19"/>
      <c r="I324" s="71"/>
    </row>
    <row r="325" ht="15.75" customHeight="1">
      <c r="F325" s="71"/>
      <c r="G325" s="50"/>
      <c r="H325" s="19"/>
      <c r="I325" s="71"/>
    </row>
    <row r="326" ht="15.75" customHeight="1">
      <c r="F326" s="71"/>
      <c r="G326" s="50"/>
      <c r="H326" s="19"/>
      <c r="I326" s="71"/>
    </row>
    <row r="327" ht="15.75" customHeight="1">
      <c r="F327" s="71"/>
      <c r="G327" s="50"/>
      <c r="H327" s="19"/>
      <c r="I327" s="71"/>
    </row>
    <row r="328" ht="15.75" customHeight="1">
      <c r="F328" s="71"/>
      <c r="G328" s="50"/>
      <c r="H328" s="19"/>
      <c r="I328" s="71"/>
    </row>
    <row r="329" ht="15.75" customHeight="1">
      <c r="F329" s="71"/>
      <c r="G329" s="50"/>
      <c r="H329" s="19"/>
      <c r="I329" s="71"/>
    </row>
    <row r="330" ht="15.75" customHeight="1">
      <c r="F330" s="71"/>
      <c r="G330" s="50"/>
      <c r="H330" s="19"/>
      <c r="I330" s="71"/>
    </row>
    <row r="331" ht="15.75" customHeight="1">
      <c r="F331" s="71"/>
      <c r="G331" s="50"/>
      <c r="H331" s="19"/>
      <c r="I331" s="71"/>
    </row>
    <row r="332" ht="15.75" customHeight="1">
      <c r="F332" s="71"/>
      <c r="G332" s="50"/>
      <c r="H332" s="19"/>
      <c r="I332" s="71"/>
    </row>
    <row r="333" ht="15.75" customHeight="1">
      <c r="F333" s="71"/>
      <c r="G333" s="50"/>
      <c r="H333" s="19"/>
      <c r="I333" s="71"/>
    </row>
    <row r="334" ht="15.75" customHeight="1">
      <c r="F334" s="71"/>
      <c r="G334" s="50"/>
      <c r="H334" s="19"/>
      <c r="I334" s="71"/>
    </row>
    <row r="335" ht="15.75" customHeight="1">
      <c r="F335" s="71"/>
      <c r="G335" s="50"/>
      <c r="H335" s="19"/>
      <c r="I335" s="71"/>
    </row>
    <row r="336" ht="15.75" customHeight="1">
      <c r="F336" s="71"/>
      <c r="G336" s="50"/>
      <c r="H336" s="19"/>
      <c r="I336" s="71"/>
    </row>
    <row r="337" ht="15.75" customHeight="1">
      <c r="F337" s="71"/>
      <c r="G337" s="50"/>
      <c r="H337" s="19"/>
      <c r="I337" s="71"/>
    </row>
    <row r="338" ht="15.75" customHeight="1">
      <c r="F338" s="71"/>
      <c r="G338" s="50"/>
      <c r="H338" s="19"/>
      <c r="I338" s="71"/>
    </row>
    <row r="339" ht="15.75" customHeight="1">
      <c r="F339" s="71"/>
      <c r="G339" s="50"/>
      <c r="H339" s="19"/>
      <c r="I339" s="71"/>
    </row>
    <row r="340" ht="15.75" customHeight="1">
      <c r="F340" s="71"/>
      <c r="G340" s="50"/>
      <c r="H340" s="19"/>
      <c r="I340" s="71"/>
    </row>
    <row r="341" ht="15.75" customHeight="1">
      <c r="F341" s="71"/>
      <c r="G341" s="50"/>
      <c r="H341" s="19"/>
      <c r="I341" s="71"/>
    </row>
    <row r="342" ht="15.75" customHeight="1">
      <c r="F342" s="71"/>
      <c r="G342" s="50"/>
      <c r="H342" s="19"/>
      <c r="I342" s="71"/>
    </row>
    <row r="343" ht="15.75" customHeight="1">
      <c r="F343" s="71"/>
      <c r="G343" s="50"/>
      <c r="H343" s="19"/>
      <c r="I343" s="71"/>
    </row>
    <row r="344" ht="15.75" customHeight="1">
      <c r="F344" s="71"/>
      <c r="G344" s="50"/>
      <c r="H344" s="19"/>
      <c r="I344" s="71"/>
    </row>
    <row r="345" ht="15.75" customHeight="1">
      <c r="F345" s="71"/>
      <c r="G345" s="50"/>
      <c r="H345" s="19"/>
      <c r="I345" s="71"/>
    </row>
    <row r="346" ht="15.75" customHeight="1">
      <c r="F346" s="71"/>
      <c r="G346" s="50"/>
      <c r="H346" s="19"/>
      <c r="I346" s="71"/>
    </row>
    <row r="347" ht="15.75" customHeight="1">
      <c r="F347" s="71"/>
      <c r="G347" s="50"/>
      <c r="H347" s="19"/>
      <c r="I347" s="71"/>
    </row>
    <row r="348" ht="15.75" customHeight="1">
      <c r="F348" s="71"/>
      <c r="G348" s="50"/>
      <c r="H348" s="19"/>
      <c r="I348" s="71"/>
    </row>
    <row r="349" ht="15.75" customHeight="1">
      <c r="F349" s="71"/>
      <c r="G349" s="50"/>
      <c r="H349" s="19"/>
      <c r="I349" s="71"/>
    </row>
    <row r="350" ht="15.75" customHeight="1">
      <c r="F350" s="71"/>
      <c r="G350" s="50"/>
      <c r="H350" s="19"/>
      <c r="I350" s="71"/>
    </row>
    <row r="351" ht="15.75" customHeight="1">
      <c r="F351" s="71"/>
      <c r="G351" s="50"/>
      <c r="H351" s="19"/>
      <c r="I351" s="71"/>
    </row>
    <row r="352" ht="15.75" customHeight="1">
      <c r="F352" s="71"/>
      <c r="G352" s="50"/>
      <c r="H352" s="19"/>
      <c r="I352" s="71"/>
    </row>
    <row r="353" ht="15.75" customHeight="1">
      <c r="F353" s="71"/>
      <c r="G353" s="50"/>
      <c r="H353" s="19"/>
      <c r="I353" s="71"/>
    </row>
    <row r="354" ht="15.75" customHeight="1">
      <c r="F354" s="71"/>
      <c r="G354" s="50"/>
      <c r="H354" s="19"/>
      <c r="I354" s="71"/>
    </row>
    <row r="355" ht="15.75" customHeight="1">
      <c r="F355" s="71"/>
      <c r="G355" s="50"/>
      <c r="H355" s="19"/>
      <c r="I355" s="71"/>
    </row>
    <row r="356" ht="15.75" customHeight="1">
      <c r="F356" s="71"/>
      <c r="G356" s="50"/>
      <c r="H356" s="19"/>
      <c r="I356" s="71"/>
    </row>
    <row r="357" ht="15.75" customHeight="1">
      <c r="F357" s="71"/>
      <c r="G357" s="50"/>
      <c r="H357" s="19"/>
      <c r="I357" s="71"/>
    </row>
    <row r="358" ht="15.75" customHeight="1">
      <c r="F358" s="71"/>
      <c r="G358" s="50"/>
      <c r="H358" s="19"/>
      <c r="I358" s="71"/>
    </row>
    <row r="359" ht="15.75" customHeight="1">
      <c r="F359" s="71"/>
      <c r="G359" s="50"/>
      <c r="H359" s="19"/>
      <c r="I359" s="71"/>
    </row>
    <row r="360" ht="15.75" customHeight="1">
      <c r="F360" s="71"/>
      <c r="G360" s="50"/>
      <c r="H360" s="19"/>
      <c r="I360" s="71"/>
    </row>
    <row r="361" ht="15.75" customHeight="1">
      <c r="F361" s="71"/>
      <c r="G361" s="50"/>
      <c r="H361" s="19"/>
      <c r="I361" s="71"/>
    </row>
    <row r="362" ht="15.75" customHeight="1">
      <c r="F362" s="71"/>
      <c r="G362" s="50"/>
      <c r="H362" s="19"/>
      <c r="I362" s="71"/>
    </row>
    <row r="363" ht="15.75" customHeight="1">
      <c r="F363" s="71"/>
      <c r="G363" s="50"/>
      <c r="H363" s="19"/>
      <c r="I363" s="71"/>
    </row>
    <row r="364" ht="15.75" customHeight="1">
      <c r="F364" s="71"/>
      <c r="G364" s="50"/>
      <c r="H364" s="19"/>
      <c r="I364" s="71"/>
    </row>
    <row r="365" ht="15.75" customHeight="1">
      <c r="F365" s="71"/>
      <c r="G365" s="50"/>
      <c r="H365" s="19"/>
      <c r="I365" s="71"/>
    </row>
    <row r="366" ht="15.75" customHeight="1">
      <c r="F366" s="71"/>
      <c r="G366" s="50"/>
      <c r="H366" s="19"/>
      <c r="I366" s="71"/>
    </row>
    <row r="367" ht="15.75" customHeight="1">
      <c r="F367" s="71"/>
      <c r="G367" s="50"/>
      <c r="H367" s="19"/>
      <c r="I367" s="71"/>
    </row>
    <row r="368" ht="15.75" customHeight="1">
      <c r="F368" s="71"/>
      <c r="G368" s="50"/>
      <c r="H368" s="19"/>
      <c r="I368" s="71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59">
    <sortState ref="A1:I59">
      <sortCondition ref="G1:G59"/>
      <sortCondition ref="C1:C59"/>
    </sortState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13"/>
    <col customWidth="1" min="2" max="2" width="33.5"/>
    <col customWidth="1" min="3" max="3" width="18.88"/>
    <col customWidth="1" min="4" max="11" width="14.63"/>
  </cols>
  <sheetData>
    <row r="1" ht="15.0" customHeight="1">
      <c r="A1" s="196" t="s">
        <v>267</v>
      </c>
      <c r="B1" s="196" t="s">
        <v>1</v>
      </c>
      <c r="C1" s="196" t="s">
        <v>61</v>
      </c>
      <c r="D1" s="196" t="s">
        <v>248</v>
      </c>
      <c r="E1" s="196" t="s">
        <v>63</v>
      </c>
      <c r="F1" s="197" t="s">
        <v>249</v>
      </c>
      <c r="G1" s="198" t="s">
        <v>250</v>
      </c>
      <c r="H1" s="199" t="s">
        <v>251</v>
      </c>
      <c r="I1" s="200" t="s">
        <v>252</v>
      </c>
    </row>
    <row r="2" ht="15.0" customHeight="1">
      <c r="A2" s="23" t="s">
        <v>275</v>
      </c>
      <c r="B2" s="23" t="s">
        <v>276</v>
      </c>
      <c r="C2" s="23" t="s">
        <v>17</v>
      </c>
      <c r="D2" s="23" t="s">
        <v>277</v>
      </c>
      <c r="E2" s="39">
        <v>-30.0</v>
      </c>
      <c r="F2" s="71">
        <v>1000.0</v>
      </c>
      <c r="G2" s="50">
        <v>45672.0</v>
      </c>
      <c r="H2" s="19">
        <v>0.03609000000000003</v>
      </c>
      <c r="I2" s="71">
        <f t="shared" ref="I2:I30" si="1">F2*E2*-1</f>
        <v>30000</v>
      </c>
    </row>
    <row r="3" ht="15.0" customHeight="1">
      <c r="A3" s="65" t="s">
        <v>92</v>
      </c>
      <c r="B3" s="65" t="s">
        <v>156</v>
      </c>
      <c r="C3" s="65" t="s">
        <v>72</v>
      </c>
      <c r="D3" s="65" t="s">
        <v>260</v>
      </c>
      <c r="E3" s="68">
        <v>33.0</v>
      </c>
      <c r="F3" s="218">
        <v>238.165</v>
      </c>
      <c r="G3" s="219">
        <v>45691.0</v>
      </c>
      <c r="H3" s="65" t="s">
        <v>278</v>
      </c>
      <c r="I3" s="218">
        <f t="shared" si="1"/>
        <v>-7859.445</v>
      </c>
    </row>
    <row r="4" ht="15.0" customHeight="1">
      <c r="A4" s="65" t="s">
        <v>159</v>
      </c>
      <c r="B4" s="65" t="s">
        <v>160</v>
      </c>
      <c r="C4" s="65" t="s">
        <v>72</v>
      </c>
      <c r="D4" s="65" t="s">
        <v>260</v>
      </c>
      <c r="E4" s="68">
        <v>103.0</v>
      </c>
      <c r="F4" s="218">
        <v>75.2</v>
      </c>
      <c r="G4" s="219">
        <v>45691.0</v>
      </c>
      <c r="H4" s="65" t="s">
        <v>278</v>
      </c>
      <c r="I4" s="218">
        <f t="shared" si="1"/>
        <v>-7745.6</v>
      </c>
    </row>
    <row r="5" ht="15.0" customHeight="1">
      <c r="A5" s="65" t="s">
        <v>165</v>
      </c>
      <c r="B5" s="65" t="s">
        <v>279</v>
      </c>
      <c r="C5" s="65" t="s">
        <v>74</v>
      </c>
      <c r="D5" s="65" t="s">
        <v>261</v>
      </c>
      <c r="E5" s="68">
        <v>-80.0</v>
      </c>
      <c r="F5" s="218">
        <v>161.15</v>
      </c>
      <c r="G5" s="219">
        <v>45691.0</v>
      </c>
      <c r="H5" s="67">
        <v>2.7311877749479048</v>
      </c>
      <c r="I5" s="218">
        <f t="shared" si="1"/>
        <v>12892</v>
      </c>
    </row>
    <row r="6" ht="15.0" customHeight="1">
      <c r="A6" s="65" t="s">
        <v>186</v>
      </c>
      <c r="B6" s="65" t="s">
        <v>187</v>
      </c>
      <c r="C6" s="65" t="s">
        <v>79</v>
      </c>
      <c r="D6" s="65" t="s">
        <v>260</v>
      </c>
      <c r="E6" s="68">
        <v>71.0</v>
      </c>
      <c r="F6" s="218">
        <v>109.105</v>
      </c>
      <c r="G6" s="219">
        <v>45691.0</v>
      </c>
      <c r="H6" s="65" t="s">
        <v>278</v>
      </c>
      <c r="I6" s="218">
        <f t="shared" si="1"/>
        <v>-7746.455</v>
      </c>
    </row>
    <row r="7" ht="15.0" customHeight="1">
      <c r="A7" s="65" t="s">
        <v>183</v>
      </c>
      <c r="B7" s="65" t="s">
        <v>184</v>
      </c>
      <c r="C7" s="65" t="s">
        <v>79</v>
      </c>
      <c r="D7" s="65" t="s">
        <v>260</v>
      </c>
      <c r="E7" s="68">
        <v>15.0</v>
      </c>
      <c r="F7" s="218">
        <v>517.7453333333334</v>
      </c>
      <c r="G7" s="219">
        <v>45691.0</v>
      </c>
      <c r="H7" s="65" t="s">
        <v>278</v>
      </c>
      <c r="I7" s="218">
        <f t="shared" si="1"/>
        <v>-7766.18</v>
      </c>
    </row>
    <row r="8" ht="15.0" customHeight="1">
      <c r="A8" s="65" t="s">
        <v>110</v>
      </c>
      <c r="B8" s="65" t="s">
        <v>193</v>
      </c>
      <c r="C8" s="65" t="s">
        <v>81</v>
      </c>
      <c r="D8" s="65" t="s">
        <v>260</v>
      </c>
      <c r="E8" s="68">
        <v>19.0</v>
      </c>
      <c r="F8" s="218">
        <v>549.55</v>
      </c>
      <c r="G8" s="219">
        <v>45691.0</v>
      </c>
      <c r="H8" s="65" t="s">
        <v>278</v>
      </c>
      <c r="I8" s="218">
        <f t="shared" si="1"/>
        <v>-10441.45</v>
      </c>
    </row>
    <row r="9" ht="15.0" customHeight="1">
      <c r="A9" s="65" t="s">
        <v>196</v>
      </c>
      <c r="B9" s="220" t="s">
        <v>197</v>
      </c>
      <c r="C9" s="65" t="s">
        <v>81</v>
      </c>
      <c r="D9" s="65" t="s">
        <v>260</v>
      </c>
      <c r="E9" s="68">
        <v>327.0</v>
      </c>
      <c r="F9" s="218">
        <v>31.469923547400615</v>
      </c>
      <c r="G9" s="219">
        <v>45691.0</v>
      </c>
      <c r="H9" s="65" t="s">
        <v>278</v>
      </c>
      <c r="I9" s="218">
        <f t="shared" si="1"/>
        <v>-10290.665</v>
      </c>
    </row>
    <row r="10" ht="15.0" customHeight="1">
      <c r="A10" s="65" t="s">
        <v>223</v>
      </c>
      <c r="B10" s="65" t="s">
        <v>224</v>
      </c>
      <c r="C10" s="65" t="s">
        <v>280</v>
      </c>
      <c r="D10" s="65" t="s">
        <v>261</v>
      </c>
      <c r="E10" s="68">
        <v>-172.0</v>
      </c>
      <c r="F10" s="218">
        <v>145.0</v>
      </c>
      <c r="G10" s="219">
        <v>45691.0</v>
      </c>
      <c r="H10" s="67">
        <v>0.7184166864185827</v>
      </c>
      <c r="I10" s="218">
        <f t="shared" si="1"/>
        <v>24940</v>
      </c>
    </row>
    <row r="11" ht="15.0" customHeight="1">
      <c r="A11" s="65" t="s">
        <v>281</v>
      </c>
      <c r="B11" s="65" t="s">
        <v>282</v>
      </c>
      <c r="C11" s="65" t="s">
        <v>87</v>
      </c>
      <c r="D11" s="65" t="s">
        <v>261</v>
      </c>
      <c r="E11" s="68">
        <v>-71.0</v>
      </c>
      <c r="F11" s="218">
        <v>368.14873239436616</v>
      </c>
      <c r="G11" s="219">
        <v>45691.0</v>
      </c>
      <c r="H11" s="67">
        <v>1.9116577032584623</v>
      </c>
      <c r="I11" s="218">
        <f t="shared" si="1"/>
        <v>26138.56</v>
      </c>
    </row>
    <row r="12" ht="15.0" customHeight="1">
      <c r="A12" s="65" t="s">
        <v>134</v>
      </c>
      <c r="B12" s="65" t="s">
        <v>227</v>
      </c>
      <c r="C12" s="65" t="s">
        <v>91</v>
      </c>
      <c r="D12" s="65" t="s">
        <v>261</v>
      </c>
      <c r="E12" s="65">
        <v>-42.0</v>
      </c>
      <c r="F12" s="218">
        <v>304.0809523809524</v>
      </c>
      <c r="G12" s="219">
        <v>45691.0</v>
      </c>
      <c r="H12" s="67">
        <v>2.4285821668841177</v>
      </c>
      <c r="I12" s="218">
        <f t="shared" si="1"/>
        <v>12771.4</v>
      </c>
    </row>
    <row r="13" ht="15.0" customHeight="1">
      <c r="A13" s="65" t="s">
        <v>228</v>
      </c>
      <c r="B13" s="65" t="s">
        <v>229</v>
      </c>
      <c r="C13" s="65" t="s">
        <v>91</v>
      </c>
      <c r="D13" s="65" t="s">
        <v>261</v>
      </c>
      <c r="E13" s="68">
        <v>-75.0</v>
      </c>
      <c r="F13" s="218">
        <v>170.0</v>
      </c>
      <c r="G13" s="219">
        <v>45691.0</v>
      </c>
      <c r="H13" s="67">
        <v>3.7301057317751813</v>
      </c>
      <c r="I13" s="218">
        <f t="shared" si="1"/>
        <v>12750</v>
      </c>
    </row>
    <row r="14" ht="15.0" customHeight="1">
      <c r="A14" s="18" t="s">
        <v>241</v>
      </c>
      <c r="B14" s="23" t="str">
        <f>'Sector Holdings'!C91</f>
        <v>Texas Pacific Land Corp</v>
      </c>
      <c r="C14" s="23" t="s">
        <v>69</v>
      </c>
      <c r="D14" s="23" t="s">
        <v>260</v>
      </c>
      <c r="E14" s="39">
        <v>3.0</v>
      </c>
      <c r="F14" s="71">
        <v>111.545</v>
      </c>
      <c r="G14" s="50">
        <v>45693.0</v>
      </c>
      <c r="H14" s="23" t="s">
        <v>278</v>
      </c>
      <c r="I14" s="71">
        <f t="shared" si="1"/>
        <v>-334.635</v>
      </c>
    </row>
    <row r="15" ht="15.0" customHeight="1">
      <c r="A15" s="23" t="s">
        <v>283</v>
      </c>
      <c r="B15" s="23" t="s">
        <v>284</v>
      </c>
      <c r="C15" s="23" t="s">
        <v>69</v>
      </c>
      <c r="D15" s="23" t="s">
        <v>260</v>
      </c>
      <c r="E15" s="23">
        <v>30.0</v>
      </c>
      <c r="F15" s="23">
        <v>33.92</v>
      </c>
      <c r="G15" s="50">
        <v>45693.0</v>
      </c>
      <c r="H15" s="23" t="s">
        <v>278</v>
      </c>
      <c r="I15" s="71">
        <f t="shared" si="1"/>
        <v>-1017.6</v>
      </c>
    </row>
    <row r="16" ht="15.0" customHeight="1">
      <c r="A16" s="23" t="s">
        <v>238</v>
      </c>
      <c r="B16" s="23" t="s">
        <v>285</v>
      </c>
      <c r="C16" s="23" t="s">
        <v>69</v>
      </c>
      <c r="D16" s="23" t="s">
        <v>264</v>
      </c>
      <c r="E16" s="23">
        <v>75.0</v>
      </c>
      <c r="F16" s="23">
        <v>57.1993</v>
      </c>
      <c r="G16" s="50">
        <v>45693.0</v>
      </c>
      <c r="H16" s="23" t="s">
        <v>278</v>
      </c>
      <c r="I16" s="71">
        <f t="shared" si="1"/>
        <v>-4289.9475</v>
      </c>
    </row>
    <row r="17" ht="15.0" customHeight="1">
      <c r="A17" s="23" t="s">
        <v>235</v>
      </c>
      <c r="B17" s="23" t="s">
        <v>286</v>
      </c>
      <c r="C17" s="23" t="s">
        <v>69</v>
      </c>
      <c r="D17" s="23" t="s">
        <v>264</v>
      </c>
      <c r="E17" s="23">
        <v>28.0</v>
      </c>
      <c r="F17" s="23">
        <v>153.32</v>
      </c>
      <c r="G17" s="50">
        <v>45693.0</v>
      </c>
      <c r="H17" s="23" t="s">
        <v>278</v>
      </c>
      <c r="I17" s="71">
        <f t="shared" si="1"/>
        <v>-4292.96</v>
      </c>
    </row>
    <row r="18" ht="15.0" customHeight="1">
      <c r="A18" s="23" t="s">
        <v>287</v>
      </c>
      <c r="B18" s="23" t="s">
        <v>288</v>
      </c>
      <c r="C18" s="23" t="s">
        <v>69</v>
      </c>
      <c r="D18" s="23" t="s">
        <v>264</v>
      </c>
      <c r="E18" s="23">
        <v>62.0</v>
      </c>
      <c r="F18" s="23">
        <v>69.57</v>
      </c>
      <c r="G18" s="50">
        <v>45693.0</v>
      </c>
      <c r="H18" s="23" t="s">
        <v>278</v>
      </c>
      <c r="I18" s="71">
        <f t="shared" si="1"/>
        <v>-4313.34</v>
      </c>
    </row>
    <row r="19" ht="15.0" customHeight="1">
      <c r="A19" s="23" t="s">
        <v>289</v>
      </c>
      <c r="B19" s="23" t="s">
        <v>290</v>
      </c>
      <c r="C19" s="23" t="s">
        <v>69</v>
      </c>
      <c r="D19" s="23" t="s">
        <v>264</v>
      </c>
      <c r="E19" s="23">
        <v>93.0</v>
      </c>
      <c r="F19" s="23">
        <v>55.2893</v>
      </c>
      <c r="G19" s="50">
        <v>45693.0</v>
      </c>
      <c r="H19" s="23" t="s">
        <v>278</v>
      </c>
      <c r="I19" s="71">
        <f t="shared" si="1"/>
        <v>-5141.9049</v>
      </c>
      <c r="K19" s="19"/>
    </row>
    <row r="20" ht="15.0" customHeight="1">
      <c r="A20" s="23" t="s">
        <v>291</v>
      </c>
      <c r="B20" s="23" t="s">
        <v>292</v>
      </c>
      <c r="C20" s="23" t="s">
        <v>69</v>
      </c>
      <c r="D20" s="23" t="s">
        <v>264</v>
      </c>
      <c r="E20" s="23">
        <v>275.0</v>
      </c>
      <c r="F20" s="23">
        <v>18.755</v>
      </c>
      <c r="G20" s="50">
        <v>45693.0</v>
      </c>
      <c r="H20" s="23" t="s">
        <v>278</v>
      </c>
      <c r="I20" s="71">
        <f t="shared" si="1"/>
        <v>-5157.625</v>
      </c>
      <c r="K20" s="19"/>
    </row>
    <row r="21" ht="15.0" customHeight="1">
      <c r="A21" s="23" t="s">
        <v>293</v>
      </c>
      <c r="B21" s="23" t="s">
        <v>294</v>
      </c>
      <c r="C21" s="23" t="s">
        <v>69</v>
      </c>
      <c r="D21" s="23" t="s">
        <v>264</v>
      </c>
      <c r="E21" s="23">
        <v>64.0</v>
      </c>
      <c r="F21" s="23">
        <v>80.035</v>
      </c>
      <c r="G21" s="50">
        <v>45693.0</v>
      </c>
      <c r="H21" s="23" t="s">
        <v>278</v>
      </c>
      <c r="I21" s="71">
        <f t="shared" si="1"/>
        <v>-5122.24</v>
      </c>
      <c r="K21" s="19"/>
    </row>
    <row r="22" ht="15.0" customHeight="1">
      <c r="A22" s="23" t="s">
        <v>295</v>
      </c>
      <c r="B22" s="23" t="s">
        <v>296</v>
      </c>
      <c r="C22" s="23" t="s">
        <v>69</v>
      </c>
      <c r="D22" s="23" t="s">
        <v>264</v>
      </c>
      <c r="E22" s="23">
        <v>100.0</v>
      </c>
      <c r="F22" s="23">
        <v>51.26</v>
      </c>
      <c r="G22" s="50">
        <v>45693.0</v>
      </c>
      <c r="H22" s="23" t="s">
        <v>278</v>
      </c>
      <c r="I22" s="71">
        <f t="shared" si="1"/>
        <v>-5126</v>
      </c>
      <c r="K22" s="19"/>
    </row>
    <row r="23" ht="15.0" customHeight="1">
      <c r="A23" s="23" t="s">
        <v>297</v>
      </c>
      <c r="B23" s="23" t="s">
        <v>298</v>
      </c>
      <c r="C23" s="23" t="s">
        <v>69</v>
      </c>
      <c r="D23" s="23" t="s">
        <v>264</v>
      </c>
      <c r="E23" s="23">
        <v>183.0</v>
      </c>
      <c r="F23" s="23">
        <v>28.19</v>
      </c>
      <c r="G23" s="50">
        <v>45693.0</v>
      </c>
      <c r="H23" s="23" t="s">
        <v>278</v>
      </c>
      <c r="I23" s="71">
        <f t="shared" si="1"/>
        <v>-5158.77</v>
      </c>
      <c r="K23" s="19"/>
    </row>
    <row r="24" ht="15.0" customHeight="1">
      <c r="A24" s="23" t="s">
        <v>299</v>
      </c>
      <c r="B24" s="23" t="s">
        <v>300</v>
      </c>
      <c r="C24" s="23" t="s">
        <v>69</v>
      </c>
      <c r="D24" s="23" t="s">
        <v>253</v>
      </c>
      <c r="E24" s="23">
        <v>-39.0</v>
      </c>
      <c r="F24" s="71">
        <v>100.17</v>
      </c>
      <c r="G24" s="50">
        <v>45693.0</v>
      </c>
      <c r="H24" s="19">
        <v>-0.00831600831600835</v>
      </c>
      <c r="I24" s="71">
        <f t="shared" si="1"/>
        <v>3906.63</v>
      </c>
      <c r="K24" s="19"/>
    </row>
    <row r="25" ht="15.0" customHeight="1">
      <c r="A25" s="23" t="s">
        <v>138</v>
      </c>
      <c r="B25" s="23" t="s">
        <v>301</v>
      </c>
      <c r="C25" s="23" t="s">
        <v>69</v>
      </c>
      <c r="D25" s="23" t="s">
        <v>253</v>
      </c>
      <c r="E25" s="23">
        <v>-22.0</v>
      </c>
      <c r="F25" s="71">
        <v>157.5417</v>
      </c>
      <c r="G25" s="50">
        <v>45693.0</v>
      </c>
      <c r="H25" s="19">
        <v>-0.258801693719125</v>
      </c>
      <c r="I25" s="71">
        <f t="shared" si="1"/>
        <v>3465.9174</v>
      </c>
      <c r="K25" s="19"/>
    </row>
    <row r="26" ht="15.0" customHeight="1">
      <c r="A26" s="23" t="s">
        <v>302</v>
      </c>
      <c r="B26" s="18" t="s">
        <v>303</v>
      </c>
      <c r="C26" s="23" t="s">
        <v>69</v>
      </c>
      <c r="D26" s="23" t="s">
        <v>253</v>
      </c>
      <c r="E26" s="39">
        <v>-32.0</v>
      </c>
      <c r="F26" s="71">
        <v>128.73</v>
      </c>
      <c r="G26" s="50">
        <v>45693.0</v>
      </c>
      <c r="H26" s="19">
        <f>(F26-'Sector Holdings'!L85)/'Sector Holdings'!L85</f>
        <v>7.98952514</v>
      </c>
      <c r="I26" s="71">
        <f t="shared" si="1"/>
        <v>4119.36</v>
      </c>
      <c r="K26" s="19"/>
    </row>
    <row r="27" ht="15.0" customHeight="1">
      <c r="A27" s="23" t="s">
        <v>304</v>
      </c>
      <c r="B27" s="18" t="s">
        <v>305</v>
      </c>
      <c r="C27" s="23" t="s">
        <v>69</v>
      </c>
      <c r="D27" s="23" t="s">
        <v>253</v>
      </c>
      <c r="E27" s="39">
        <v>-81.0</v>
      </c>
      <c r="F27" s="71">
        <v>58.885</v>
      </c>
      <c r="G27" s="50">
        <v>45693.0</v>
      </c>
      <c r="H27" s="19">
        <f>(F27-'Sector Holdings'!L86)/'Sector Holdings'!L86</f>
        <v>1.167280088</v>
      </c>
      <c r="I27" s="71">
        <f t="shared" si="1"/>
        <v>4769.685</v>
      </c>
      <c r="K27" s="19"/>
    </row>
    <row r="28" ht="15.0" customHeight="1">
      <c r="A28" s="18" t="s">
        <v>306</v>
      </c>
      <c r="B28" s="23" t="s">
        <v>307</v>
      </c>
      <c r="C28" s="23" t="s">
        <v>69</v>
      </c>
      <c r="D28" s="23" t="s">
        <v>253</v>
      </c>
      <c r="E28" s="39">
        <v>-15.0</v>
      </c>
      <c r="F28" s="71">
        <v>292.2537</v>
      </c>
      <c r="G28" s="50">
        <v>45693.0</v>
      </c>
      <c r="H28" s="19">
        <f>(F28-'Sector Holdings'!L90)/'Sector Holdings'!L90</f>
        <v>6.516813272</v>
      </c>
      <c r="I28" s="71">
        <f t="shared" si="1"/>
        <v>4383.8055</v>
      </c>
      <c r="K28" s="19"/>
    </row>
    <row r="29" ht="15.0" customHeight="1">
      <c r="A29" s="18" t="s">
        <v>269</v>
      </c>
      <c r="B29" s="23" t="str">
        <f>'Sector Holdings'!C92</f>
        <v>Monolithic Power Systems Inc</v>
      </c>
      <c r="C29" s="23" t="s">
        <v>69</v>
      </c>
      <c r="D29" s="23" t="s">
        <v>253</v>
      </c>
      <c r="E29" s="39">
        <v>-87.0</v>
      </c>
      <c r="F29" s="71">
        <v>48.435</v>
      </c>
      <c r="G29" s="50">
        <v>45693.0</v>
      </c>
      <c r="H29" s="19">
        <f>(F29-'Sector Holdings'!L92)/'Sector Holdings'!L92</f>
        <v>-0.9585919467</v>
      </c>
      <c r="I29" s="71">
        <f t="shared" si="1"/>
        <v>4213.845</v>
      </c>
      <c r="K29" s="19"/>
    </row>
    <row r="30" ht="15.0" customHeight="1">
      <c r="A30" s="18" t="s">
        <v>308</v>
      </c>
      <c r="B30" s="23" t="str">
        <f>'Sector Holdings'!C93</f>
        <v>Pultegroup Inc</v>
      </c>
      <c r="C30" s="23" t="s">
        <v>69</v>
      </c>
      <c r="D30" s="23" t="s">
        <v>253</v>
      </c>
      <c r="E30" s="23">
        <v>-49.0</v>
      </c>
      <c r="F30" s="71">
        <v>58.56</v>
      </c>
      <c r="G30" s="50">
        <v>45693.0</v>
      </c>
      <c r="H30" s="19">
        <f>(F30-'Sector Holdings'!L93)/'Sector Holdings'!L93</f>
        <v>-0.562069997</v>
      </c>
      <c r="I30" s="71">
        <f t="shared" si="1"/>
        <v>2869.44</v>
      </c>
      <c r="K30" s="19"/>
    </row>
    <row r="31" ht="15.0" customHeight="1">
      <c r="A31" s="65" t="s">
        <v>55</v>
      </c>
      <c r="B31" s="65" t="s">
        <v>56</v>
      </c>
      <c r="C31" s="65" t="s">
        <v>17</v>
      </c>
      <c r="D31" s="65" t="s">
        <v>264</v>
      </c>
      <c r="E31" s="65">
        <v>33.0</v>
      </c>
      <c r="F31" s="65">
        <v>99.326</v>
      </c>
      <c r="G31" s="219">
        <v>45700.0</v>
      </c>
      <c r="H31" s="67" t="s">
        <v>278</v>
      </c>
      <c r="I31" s="218">
        <v>-3277.758</v>
      </c>
      <c r="K31" s="19"/>
    </row>
    <row r="32" ht="15.0" customHeight="1">
      <c r="A32" s="65" t="s">
        <v>274</v>
      </c>
      <c r="B32" s="65" t="s">
        <v>309</v>
      </c>
      <c r="C32" s="65" t="s">
        <v>87</v>
      </c>
      <c r="D32" s="65" t="s">
        <v>260</v>
      </c>
      <c r="E32" s="65">
        <v>24.0</v>
      </c>
      <c r="F32" s="65">
        <v>172.29</v>
      </c>
      <c r="G32" s="219">
        <v>45700.0</v>
      </c>
      <c r="H32" s="67" t="s">
        <v>278</v>
      </c>
      <c r="I32" s="218">
        <v>-4134.96</v>
      </c>
      <c r="K32" s="19"/>
    </row>
    <row r="33" ht="15.0" customHeight="1">
      <c r="A33" s="65" t="s">
        <v>122</v>
      </c>
      <c r="B33" s="65" t="s">
        <v>310</v>
      </c>
      <c r="C33" s="65" t="s">
        <v>87</v>
      </c>
      <c r="D33" s="65" t="s">
        <v>260</v>
      </c>
      <c r="E33" s="65">
        <v>7.0</v>
      </c>
      <c r="F33" s="218">
        <v>461.33</v>
      </c>
      <c r="G33" s="219">
        <v>45700.0</v>
      </c>
      <c r="H33" s="67" t="s">
        <v>278</v>
      </c>
      <c r="I33" s="218">
        <v>-3229.31</v>
      </c>
      <c r="K33" s="19"/>
    </row>
    <row r="34" ht="15.0" customHeight="1">
      <c r="A34" s="65" t="s">
        <v>130</v>
      </c>
      <c r="B34" s="65" t="s">
        <v>213</v>
      </c>
      <c r="C34" s="65" t="s">
        <v>87</v>
      </c>
      <c r="D34" s="65" t="s">
        <v>260</v>
      </c>
      <c r="E34" s="65">
        <v>144.0</v>
      </c>
      <c r="F34" s="218">
        <v>183.36666666666667</v>
      </c>
      <c r="G34" s="219">
        <v>45700.0</v>
      </c>
      <c r="H34" s="67" t="s">
        <v>278</v>
      </c>
      <c r="I34" s="218">
        <v>-26404.800000000003</v>
      </c>
      <c r="K34" s="19"/>
    </row>
    <row r="35" ht="15.0" customHeight="1">
      <c r="A35" s="65" t="s">
        <v>126</v>
      </c>
      <c r="B35" s="65" t="s">
        <v>216</v>
      </c>
      <c r="C35" s="65" t="s">
        <v>87</v>
      </c>
      <c r="D35" s="65" t="s">
        <v>260</v>
      </c>
      <c r="E35" s="65">
        <v>17.0</v>
      </c>
      <c r="F35" s="218">
        <v>512.53</v>
      </c>
      <c r="G35" s="219">
        <v>45700.0</v>
      </c>
      <c r="H35" s="67" t="s">
        <v>278</v>
      </c>
      <c r="I35" s="218">
        <v>-8713.01</v>
      </c>
      <c r="K35" s="19"/>
    </row>
    <row r="36" ht="15.0" customHeight="1">
      <c r="A36" s="65" t="s">
        <v>124</v>
      </c>
      <c r="B36" s="65" t="s">
        <v>215</v>
      </c>
      <c r="C36" s="65" t="s">
        <v>87</v>
      </c>
      <c r="D36" s="65" t="s">
        <v>260</v>
      </c>
      <c r="E36" s="65">
        <v>38.0</v>
      </c>
      <c r="F36" s="218">
        <v>180.8686</v>
      </c>
      <c r="G36" s="219">
        <v>45700.0</v>
      </c>
      <c r="H36" s="67" t="s">
        <v>278</v>
      </c>
      <c r="I36" s="218">
        <v>-6873.006799999999</v>
      </c>
      <c r="K36" s="19"/>
    </row>
    <row r="37" ht="15.0" customHeight="1">
      <c r="A37" s="65" t="s">
        <v>123</v>
      </c>
      <c r="B37" s="65" t="s">
        <v>311</v>
      </c>
      <c r="C37" s="65" t="s">
        <v>87</v>
      </c>
      <c r="D37" s="65" t="s">
        <v>260</v>
      </c>
      <c r="E37" s="65">
        <v>29.0</v>
      </c>
      <c r="F37" s="218">
        <v>409.375</v>
      </c>
      <c r="G37" s="219">
        <v>45700.0</v>
      </c>
      <c r="H37" s="67" t="s">
        <v>278</v>
      </c>
      <c r="I37" s="218">
        <v>-11871.875</v>
      </c>
      <c r="K37" s="19"/>
    </row>
    <row r="38" ht="15.0" customHeight="1">
      <c r="A38" s="65" t="s">
        <v>281</v>
      </c>
      <c r="B38" s="65" t="s">
        <v>282</v>
      </c>
      <c r="C38" s="65" t="s">
        <v>87</v>
      </c>
      <c r="D38" s="65" t="s">
        <v>253</v>
      </c>
      <c r="E38" s="65">
        <v>-163.0</v>
      </c>
      <c r="F38" s="218">
        <v>381.775</v>
      </c>
      <c r="G38" s="219">
        <v>45700.0</v>
      </c>
      <c r="H38" s="67">
        <v>2.0194163239481178</v>
      </c>
      <c r="I38" s="218">
        <v>62229.325</v>
      </c>
      <c r="K38" s="19"/>
    </row>
    <row r="39" ht="15.0" customHeight="1">
      <c r="A39" s="23" t="s">
        <v>241</v>
      </c>
      <c r="B39" s="23" t="s">
        <v>312</v>
      </c>
      <c r="C39" s="23" t="s">
        <v>69</v>
      </c>
      <c r="D39" s="23" t="s">
        <v>260</v>
      </c>
      <c r="E39" s="23">
        <v>4.0</v>
      </c>
      <c r="F39" s="71">
        <v>106.13</v>
      </c>
      <c r="G39" s="50">
        <v>45721.0</v>
      </c>
      <c r="H39" s="19" t="s">
        <v>278</v>
      </c>
      <c r="I39" s="71">
        <v>-424.52</v>
      </c>
      <c r="K39" s="19"/>
    </row>
    <row r="40" ht="15.0" customHeight="1">
      <c r="A40" s="23" t="s">
        <v>313</v>
      </c>
      <c r="B40" s="23" t="s">
        <v>314</v>
      </c>
      <c r="C40" s="23" t="s">
        <v>69</v>
      </c>
      <c r="D40" s="23" t="s">
        <v>264</v>
      </c>
      <c r="E40" s="23">
        <v>62.0</v>
      </c>
      <c r="F40" s="71">
        <v>71.095</v>
      </c>
      <c r="G40" s="50">
        <v>45721.0</v>
      </c>
      <c r="H40" s="19" t="s">
        <v>278</v>
      </c>
      <c r="I40" s="71">
        <v>-4407.89</v>
      </c>
      <c r="K40" s="19"/>
    </row>
    <row r="41" ht="15.0" customHeight="1">
      <c r="A41" s="23" t="s">
        <v>242</v>
      </c>
      <c r="B41" s="23" t="s">
        <v>315</v>
      </c>
      <c r="C41" s="23" t="s">
        <v>69</v>
      </c>
      <c r="D41" s="23" t="s">
        <v>264</v>
      </c>
      <c r="E41" s="23">
        <v>63.0</v>
      </c>
      <c r="F41" s="71">
        <v>69.65</v>
      </c>
      <c r="G41" s="50">
        <v>45721.0</v>
      </c>
      <c r="H41" s="19" t="s">
        <v>278</v>
      </c>
      <c r="I41" s="71">
        <v>-4387.950000000001</v>
      </c>
      <c r="K41" s="19"/>
    </row>
    <row r="42" ht="15.0" customHeight="1">
      <c r="A42" s="23" t="s">
        <v>258</v>
      </c>
      <c r="B42" s="23" t="s">
        <v>316</v>
      </c>
      <c r="C42" s="23" t="s">
        <v>69</v>
      </c>
      <c r="D42" s="23" t="s">
        <v>264</v>
      </c>
      <c r="E42" s="23">
        <v>42.0</v>
      </c>
      <c r="F42" s="71">
        <v>105.56047619047621</v>
      </c>
      <c r="G42" s="50">
        <v>45721.0</v>
      </c>
      <c r="H42" s="19" t="s">
        <v>278</v>
      </c>
      <c r="I42" s="71">
        <v>-2318.1400000000003</v>
      </c>
      <c r="K42" s="19"/>
    </row>
    <row r="43" ht="15.0" customHeight="1">
      <c r="A43" s="23" t="s">
        <v>257</v>
      </c>
      <c r="B43" s="23" t="s">
        <v>317</v>
      </c>
      <c r="C43" s="23" t="s">
        <v>69</v>
      </c>
      <c r="D43" s="23" t="s">
        <v>264</v>
      </c>
      <c r="E43" s="23">
        <v>80.0</v>
      </c>
      <c r="F43" s="71">
        <v>55.25</v>
      </c>
      <c r="G43" s="50">
        <v>45721.0</v>
      </c>
      <c r="H43" s="19" t="s">
        <v>278</v>
      </c>
      <c r="I43" s="71">
        <v>-4420.0</v>
      </c>
      <c r="K43" s="19"/>
    </row>
    <row r="44" ht="15.0" customHeight="1">
      <c r="A44" s="23" t="s">
        <v>318</v>
      </c>
      <c r="B44" s="23" t="s">
        <v>319</v>
      </c>
      <c r="C44" s="23" t="s">
        <v>69</v>
      </c>
      <c r="D44" s="23" t="s">
        <v>264</v>
      </c>
      <c r="E44" s="23">
        <v>87.0</v>
      </c>
      <c r="F44" s="71">
        <v>59.85</v>
      </c>
      <c r="G44" s="50">
        <v>45721.0</v>
      </c>
      <c r="H44" s="19" t="s">
        <v>278</v>
      </c>
      <c r="I44" s="71">
        <v>-5206.95</v>
      </c>
      <c r="K44" s="19"/>
    </row>
    <row r="45" ht="15.0" customHeight="1">
      <c r="A45" s="23" t="s">
        <v>256</v>
      </c>
      <c r="B45" s="23" t="s">
        <v>320</v>
      </c>
      <c r="C45" s="23" t="s">
        <v>69</v>
      </c>
      <c r="D45" s="23" t="s">
        <v>264</v>
      </c>
      <c r="E45" s="23">
        <v>22.0</v>
      </c>
      <c r="F45" s="71">
        <v>201.092</v>
      </c>
      <c r="G45" s="50">
        <v>45721.0</v>
      </c>
      <c r="H45" s="19" t="s">
        <v>278</v>
      </c>
      <c r="I45" s="71">
        <v>-4424.024</v>
      </c>
    </row>
    <row r="46" ht="15.0" customHeight="1">
      <c r="A46" s="23" t="s">
        <v>321</v>
      </c>
      <c r="B46" s="23" t="s">
        <v>322</v>
      </c>
      <c r="C46" s="23" t="s">
        <v>69</v>
      </c>
      <c r="D46" s="23" t="s">
        <v>264</v>
      </c>
      <c r="E46" s="23">
        <v>41.0</v>
      </c>
      <c r="F46" s="71">
        <v>126.46</v>
      </c>
      <c r="G46" s="50">
        <v>45721.0</v>
      </c>
      <c r="H46" s="19" t="s">
        <v>278</v>
      </c>
      <c r="I46" s="71">
        <v>-5184.86</v>
      </c>
      <c r="K46" s="19"/>
    </row>
    <row r="47" ht="15.0" customHeight="1">
      <c r="A47" s="23" t="s">
        <v>323</v>
      </c>
      <c r="B47" s="23" t="s">
        <v>324</v>
      </c>
      <c r="C47" s="23" t="s">
        <v>69</v>
      </c>
      <c r="D47" s="23" t="s">
        <v>264</v>
      </c>
      <c r="E47" s="23">
        <v>93.0</v>
      </c>
      <c r="F47" s="71">
        <v>56.12</v>
      </c>
      <c r="G47" s="50">
        <v>45721.0</v>
      </c>
      <c r="H47" s="19" t="s">
        <v>278</v>
      </c>
      <c r="I47" s="71">
        <v>-5219.16</v>
      </c>
      <c r="K47" s="19"/>
    </row>
    <row r="48" ht="15.0" customHeight="1">
      <c r="A48" s="23" t="s">
        <v>325</v>
      </c>
      <c r="B48" s="23" t="s">
        <v>326</v>
      </c>
      <c r="C48" s="23" t="s">
        <v>69</v>
      </c>
      <c r="D48" s="23" t="s">
        <v>253</v>
      </c>
      <c r="E48" s="23">
        <v>-65.0</v>
      </c>
      <c r="F48" s="71">
        <v>66.545</v>
      </c>
      <c r="G48" s="50">
        <v>45721.0</v>
      </c>
      <c r="H48" s="19">
        <v>-0.16096697541341354</v>
      </c>
      <c r="I48" s="71">
        <v>4325.425</v>
      </c>
      <c r="K48" s="19"/>
    </row>
    <row r="49" ht="15.0" customHeight="1">
      <c r="A49" s="23" t="s">
        <v>283</v>
      </c>
      <c r="B49" s="23" t="s">
        <v>284</v>
      </c>
      <c r="C49" s="23" t="s">
        <v>69</v>
      </c>
      <c r="D49" s="23" t="s">
        <v>253</v>
      </c>
      <c r="E49" s="23">
        <v>-126.0</v>
      </c>
      <c r="F49" s="71">
        <v>35.56</v>
      </c>
      <c r="G49" s="50">
        <v>45721.0</v>
      </c>
      <c r="H49" s="19">
        <v>-0.07285458879618589</v>
      </c>
      <c r="I49" s="71">
        <v>4480.56</v>
      </c>
      <c r="K49" s="19"/>
    </row>
    <row r="50" ht="15.75" customHeight="1">
      <c r="A50" s="23" t="s">
        <v>287</v>
      </c>
      <c r="B50" s="23" t="s">
        <v>288</v>
      </c>
      <c r="C50" s="23" t="s">
        <v>69</v>
      </c>
      <c r="D50" s="23" t="s">
        <v>253</v>
      </c>
      <c r="E50" s="23">
        <v>-62.0</v>
      </c>
      <c r="F50" s="71">
        <v>64.5</v>
      </c>
      <c r="G50" s="50">
        <v>45721.0</v>
      </c>
      <c r="H50" s="19">
        <v>-0.07287623975851654</v>
      </c>
      <c r="I50" s="71">
        <v>3999.0</v>
      </c>
      <c r="K50" s="19"/>
    </row>
    <row r="51" ht="15.75" customHeight="1">
      <c r="A51" s="23" t="s">
        <v>235</v>
      </c>
      <c r="B51" s="23" t="s">
        <v>286</v>
      </c>
      <c r="C51" s="23" t="s">
        <v>69</v>
      </c>
      <c r="D51" s="23" t="s">
        <v>253</v>
      </c>
      <c r="E51" s="23">
        <v>-28.0</v>
      </c>
      <c r="F51" s="71">
        <v>150.7</v>
      </c>
      <c r="G51" s="50">
        <v>45721.0</v>
      </c>
      <c r="H51" s="19">
        <v>-0.01708844247325858</v>
      </c>
      <c r="I51" s="71">
        <v>4219.599999999999</v>
      </c>
      <c r="K51" s="19"/>
    </row>
    <row r="52" ht="15.75" customHeight="1">
      <c r="A52" s="23" t="s">
        <v>238</v>
      </c>
      <c r="B52" s="23" t="s">
        <v>285</v>
      </c>
      <c r="C52" s="23" t="s">
        <v>69</v>
      </c>
      <c r="D52" s="23" t="s">
        <v>253</v>
      </c>
      <c r="E52" s="23">
        <v>-75.0</v>
      </c>
      <c r="F52" s="71">
        <v>53.650333333333336</v>
      </c>
      <c r="G52" s="50">
        <v>45721.0</v>
      </c>
      <c r="H52" s="19">
        <v>-0.06204563109455297</v>
      </c>
      <c r="I52" s="71">
        <v>4023.775</v>
      </c>
    </row>
    <row r="53" ht="15.75" customHeight="1">
      <c r="A53" s="23" t="s">
        <v>297</v>
      </c>
      <c r="B53" s="23" t="s">
        <v>298</v>
      </c>
      <c r="C53" s="23" t="s">
        <v>69</v>
      </c>
      <c r="D53" s="23" t="s">
        <v>253</v>
      </c>
      <c r="E53" s="23">
        <v>-183.0</v>
      </c>
      <c r="F53" s="71">
        <v>24.221</v>
      </c>
      <c r="G53" s="50">
        <v>45721.0</v>
      </c>
      <c r="H53" s="19">
        <v>-0.14079460801702737</v>
      </c>
      <c r="I53" s="71">
        <v>4432.443</v>
      </c>
    </row>
    <row r="54" ht="15.75" customHeight="1">
      <c r="A54" s="23" t="s">
        <v>293</v>
      </c>
      <c r="B54" s="23" t="s">
        <v>294</v>
      </c>
      <c r="C54" s="23" t="s">
        <v>69</v>
      </c>
      <c r="D54" s="23" t="s">
        <v>253</v>
      </c>
      <c r="E54" s="23">
        <v>-64.0</v>
      </c>
      <c r="F54" s="71">
        <v>73.74</v>
      </c>
      <c r="G54" s="50">
        <v>45721.0</v>
      </c>
      <c r="H54" s="19">
        <v>-0.07865308927344294</v>
      </c>
      <c r="I54" s="71">
        <v>4719.36</v>
      </c>
    </row>
    <row r="55" ht="15.75" customHeight="1">
      <c r="A55" s="23" t="s">
        <v>291</v>
      </c>
      <c r="B55" s="23" t="s">
        <v>292</v>
      </c>
      <c r="C55" s="23" t="s">
        <v>69</v>
      </c>
      <c r="D55" s="23" t="s">
        <v>253</v>
      </c>
      <c r="E55" s="23">
        <v>-275.0</v>
      </c>
      <c r="F55" s="71">
        <v>16.315</v>
      </c>
      <c r="G55" s="50">
        <v>45721.0</v>
      </c>
      <c r="H55" s="19">
        <v>-0.1300986403625699</v>
      </c>
      <c r="I55" s="71">
        <v>4486.625</v>
      </c>
    </row>
    <row r="56" ht="15.75" customHeight="1">
      <c r="A56" s="23" t="s">
        <v>289</v>
      </c>
      <c r="B56" s="23" t="s">
        <v>290</v>
      </c>
      <c r="C56" s="23" t="s">
        <v>69</v>
      </c>
      <c r="D56" s="23" t="s">
        <v>261</v>
      </c>
      <c r="E56" s="23">
        <v>-15.0</v>
      </c>
      <c r="F56" s="71">
        <v>66.27</v>
      </c>
      <c r="G56" s="50">
        <v>45721.0</v>
      </c>
      <c r="H56" s="19">
        <v>0.19989136338946234</v>
      </c>
      <c r="I56" s="71">
        <v>994.05</v>
      </c>
    </row>
    <row r="57" ht="15.75" customHeight="1">
      <c r="A57" s="65" t="s">
        <v>203</v>
      </c>
      <c r="B57" s="65" t="str">
        <f>IFERROR(VLOOKUP($A57, 'Sector Holdings'!$B$3:$C$130, 2, FALSE),"N/A")</f>
        <v>General Electric Co</v>
      </c>
      <c r="C57" s="65" t="s">
        <v>83</v>
      </c>
      <c r="D57" s="65" t="s">
        <v>260</v>
      </c>
      <c r="E57" s="65">
        <v>53.0</v>
      </c>
      <c r="F57" s="218">
        <v>192.89</v>
      </c>
      <c r="G57" s="219">
        <v>45729.0</v>
      </c>
      <c r="H57" s="67" t="str">
        <f>IF(OR(D57="Sell to Trim", D57="Sell to Close"),F57/VLOOKUP(A57, 'Sector Holdings'!$B$3:$M$121, 11, FALSE) - 1, "N/A")</f>
        <v>N/A</v>
      </c>
      <c r="I57" s="218">
        <f t="shared" ref="I57:I59" si="2">F57*E57*-1</f>
        <v>-10223.17</v>
      </c>
    </row>
    <row r="58" ht="15.75" customHeight="1">
      <c r="A58" s="65" t="s">
        <v>115</v>
      </c>
      <c r="B58" s="65" t="str">
        <f>IFERROR(VLOOKUP($A58, 'Sector Holdings'!$B$3:$C$130, 2, FALSE),"N/A")</f>
        <v>N/A</v>
      </c>
      <c r="C58" s="65" t="s">
        <v>83</v>
      </c>
      <c r="D58" s="65" t="s">
        <v>260</v>
      </c>
      <c r="E58" s="65">
        <v>17.0</v>
      </c>
      <c r="F58" s="218">
        <v>596.89</v>
      </c>
      <c r="G58" s="219">
        <v>45729.0</v>
      </c>
      <c r="H58" s="67" t="str">
        <f>IF(OR(D58="Sell to Trim", D58="Sell to Close"),F58/VLOOKUP(A58, 'Sector Holdings'!$B$3:$M$121, 11, FALSE) - 1, "N/A")</f>
        <v>N/A</v>
      </c>
      <c r="I58" s="218">
        <f t="shared" si="2"/>
        <v>-10147.13</v>
      </c>
    </row>
    <row r="59" ht="15.75" customHeight="1">
      <c r="A59" s="65" t="s">
        <v>114</v>
      </c>
      <c r="B59" s="65" t="str">
        <f>IFERROR(VLOOKUP($A59, 'Sector Holdings'!$B$3:$C$130, 2, FALSE),"N/A")</f>
        <v>Air Products &amp; Chemicals, Inc.</v>
      </c>
      <c r="C59" s="65" t="s">
        <v>83</v>
      </c>
      <c r="D59" s="65" t="s">
        <v>261</v>
      </c>
      <c r="E59" s="65">
        <v>-69.0</v>
      </c>
      <c r="F59" s="218">
        <v>293.67</v>
      </c>
      <c r="G59" s="219">
        <v>45729.0</v>
      </c>
      <c r="H59" s="67">
        <f>IF(OR(D59="Sell to Trim", D59="Sell to Close"),F59/VLOOKUP(A59, 'Sector Holdings'!$B$3:$M$121, 11, FALSE) - 1, "N/A")</f>
        <v>0.2569413214</v>
      </c>
      <c r="I59" s="218">
        <f t="shared" si="2"/>
        <v>20263.23</v>
      </c>
    </row>
    <row r="60" ht="15.75" customHeight="1">
      <c r="A60" s="23" t="s">
        <v>130</v>
      </c>
      <c r="B60" s="23" t="s">
        <v>213</v>
      </c>
      <c r="C60" s="23" t="s">
        <v>87</v>
      </c>
      <c r="D60" s="23" t="s">
        <v>261</v>
      </c>
      <c r="E60" s="23">
        <v>-32.0</v>
      </c>
      <c r="F60" s="71">
        <v>164.085</v>
      </c>
      <c r="G60" s="50">
        <v>45743.0</v>
      </c>
      <c r="H60" s="19">
        <v>1.784065837380811</v>
      </c>
      <c r="I60" s="71">
        <v>5250.72</v>
      </c>
    </row>
    <row r="61" ht="15.75" customHeight="1">
      <c r="A61" s="23" t="s">
        <v>122</v>
      </c>
      <c r="B61" s="23" t="s">
        <v>310</v>
      </c>
      <c r="C61" s="23" t="s">
        <v>87</v>
      </c>
      <c r="D61" s="23" t="s">
        <v>260</v>
      </c>
      <c r="E61" s="23">
        <v>1.0</v>
      </c>
      <c r="F61" s="71">
        <v>399.4</v>
      </c>
      <c r="G61" s="50">
        <v>45743.0</v>
      </c>
      <c r="H61" s="19" t="s">
        <v>278</v>
      </c>
      <c r="I61" s="71">
        <v>-399.4</v>
      </c>
    </row>
    <row r="62" ht="15.75" customHeight="1">
      <c r="A62" s="23" t="s">
        <v>123</v>
      </c>
      <c r="B62" s="23" t="s">
        <v>311</v>
      </c>
      <c r="C62" s="23" t="s">
        <v>87</v>
      </c>
      <c r="D62" s="23" t="s">
        <v>261</v>
      </c>
      <c r="E62" s="23">
        <v>-18.0</v>
      </c>
      <c r="F62" s="71">
        <v>390.86</v>
      </c>
      <c r="G62" s="50">
        <v>45743.0</v>
      </c>
      <c r="H62" s="19">
        <v>1.0059293463893746</v>
      </c>
      <c r="I62" s="71">
        <v>7035.4800000000005</v>
      </c>
    </row>
    <row r="63" ht="15.75" customHeight="1">
      <c r="A63" s="23" t="s">
        <v>124</v>
      </c>
      <c r="B63" s="23" t="s">
        <v>215</v>
      </c>
      <c r="C63" s="23" t="s">
        <v>87</v>
      </c>
      <c r="D63" s="23" t="s">
        <v>261</v>
      </c>
      <c r="E63" s="23">
        <v>-33.0</v>
      </c>
      <c r="F63" s="71">
        <v>149.3</v>
      </c>
      <c r="G63" s="50">
        <v>45743.0</v>
      </c>
      <c r="H63" s="19">
        <v>-0.030835669905410645</v>
      </c>
      <c r="I63" s="71">
        <v>4926.900000000001</v>
      </c>
    </row>
    <row r="64" ht="15.75" customHeight="1">
      <c r="A64" s="23" t="s">
        <v>126</v>
      </c>
      <c r="B64" s="23" t="s">
        <v>216</v>
      </c>
      <c r="C64" s="23" t="s">
        <v>87</v>
      </c>
      <c r="D64" s="23" t="s">
        <v>261</v>
      </c>
      <c r="E64" s="23">
        <v>-14.0</v>
      </c>
      <c r="F64" s="71">
        <v>449.34</v>
      </c>
      <c r="G64" s="50">
        <v>45743.0</v>
      </c>
      <c r="H64" s="19">
        <v>0.11481277292276704</v>
      </c>
      <c r="I64" s="71">
        <v>6290.759999999999</v>
      </c>
    </row>
    <row r="65" ht="15.75" customHeight="1">
      <c r="A65" s="23" t="s">
        <v>274</v>
      </c>
      <c r="B65" s="23" t="s">
        <v>309</v>
      </c>
      <c r="C65" s="23" t="s">
        <v>87</v>
      </c>
      <c r="D65" s="23" t="s">
        <v>261</v>
      </c>
      <c r="E65" s="23">
        <v>-30.0</v>
      </c>
      <c r="F65" s="71">
        <v>160.46</v>
      </c>
      <c r="G65" s="50">
        <v>45743.0</v>
      </c>
      <c r="H65" s="19">
        <v>-0.27922250849458874</v>
      </c>
      <c r="I65" s="71">
        <v>4813.8</v>
      </c>
    </row>
    <row r="66" ht="15.75" customHeight="1">
      <c r="A66" s="23" t="s">
        <v>270</v>
      </c>
      <c r="B66" s="23" t="s">
        <v>327</v>
      </c>
      <c r="C66" s="23" t="s">
        <v>87</v>
      </c>
      <c r="D66" s="23" t="s">
        <v>264</v>
      </c>
      <c r="E66" s="23">
        <v>193.0</v>
      </c>
      <c r="F66" s="71">
        <v>158.88518134715025</v>
      </c>
      <c r="G66" s="50">
        <v>45743.0</v>
      </c>
      <c r="H66" s="19" t="s">
        <v>278</v>
      </c>
      <c r="I66" s="71">
        <v>-30664.84</v>
      </c>
    </row>
    <row r="67" ht="15.75" customHeight="1">
      <c r="A67" s="65" t="s">
        <v>57</v>
      </c>
      <c r="B67" s="65" t="s">
        <v>328</v>
      </c>
      <c r="C67" s="65" t="s">
        <v>17</v>
      </c>
      <c r="D67" s="65" t="s">
        <v>264</v>
      </c>
      <c r="E67" s="65">
        <v>24.0</v>
      </c>
      <c r="F67" s="218">
        <v>1003.1</v>
      </c>
      <c r="G67" s="219">
        <v>45748.0</v>
      </c>
      <c r="H67" s="67" t="s">
        <v>278</v>
      </c>
      <c r="I67" s="218">
        <v>-24074.4</v>
      </c>
    </row>
    <row r="68" ht="15.75" customHeight="1">
      <c r="A68" s="23" t="s">
        <v>329</v>
      </c>
      <c r="B68" s="23" t="s">
        <v>330</v>
      </c>
      <c r="C68" s="23" t="s">
        <v>83</v>
      </c>
      <c r="D68" s="23" t="s">
        <v>253</v>
      </c>
      <c r="E68" s="23">
        <v>-292.0</v>
      </c>
      <c r="F68" s="71">
        <v>60.31</v>
      </c>
      <c r="G68" s="50">
        <v>45749.0</v>
      </c>
      <c r="H68" s="19">
        <v>-0.6016512549537649</v>
      </c>
      <c r="I68" s="71">
        <v>17610.52</v>
      </c>
    </row>
    <row r="69" ht="15.75" customHeight="1">
      <c r="A69" s="23" t="s">
        <v>203</v>
      </c>
      <c r="B69" s="23" t="s">
        <v>204</v>
      </c>
      <c r="C69" s="23" t="s">
        <v>83</v>
      </c>
      <c r="D69" s="23" t="s">
        <v>260</v>
      </c>
      <c r="E69" s="23">
        <v>34.0</v>
      </c>
      <c r="F69" s="71">
        <v>200.35</v>
      </c>
      <c r="G69" s="50">
        <v>45749.0</v>
      </c>
      <c r="H69" s="19" t="s">
        <v>278</v>
      </c>
      <c r="I69" s="71">
        <v>-6811.9</v>
      </c>
    </row>
    <row r="70" ht="15.75" customHeight="1">
      <c r="A70" s="23" t="s">
        <v>115</v>
      </c>
      <c r="B70" s="23" t="s">
        <v>331</v>
      </c>
      <c r="C70" s="23" t="s">
        <v>83</v>
      </c>
      <c r="D70" s="23" t="s">
        <v>260</v>
      </c>
      <c r="E70" s="23">
        <v>9.0</v>
      </c>
      <c r="F70" s="71">
        <v>633.93</v>
      </c>
      <c r="G70" s="50">
        <v>45749.0</v>
      </c>
      <c r="H70" s="19" t="s">
        <v>278</v>
      </c>
      <c r="I70" s="71">
        <v>-5705.37</v>
      </c>
    </row>
    <row r="71" ht="15.75" customHeight="1">
      <c r="A71" s="23" t="s">
        <v>114</v>
      </c>
      <c r="B71" s="23" t="s">
        <v>201</v>
      </c>
      <c r="C71" s="23" t="s">
        <v>83</v>
      </c>
      <c r="D71" s="23" t="s">
        <v>260</v>
      </c>
      <c r="E71" s="23">
        <v>19.0</v>
      </c>
      <c r="F71" s="71">
        <v>292.54</v>
      </c>
      <c r="G71" s="50">
        <v>45749.0</v>
      </c>
      <c r="H71" s="19" t="s">
        <v>278</v>
      </c>
      <c r="I71" s="71">
        <v>-5558.26</v>
      </c>
    </row>
    <row r="72" ht="15.75" customHeight="1">
      <c r="A72" s="65" t="s">
        <v>258</v>
      </c>
      <c r="B72" s="65" t="s">
        <v>316</v>
      </c>
      <c r="C72" s="65" t="s">
        <v>69</v>
      </c>
      <c r="D72" s="65" t="s">
        <v>253</v>
      </c>
      <c r="E72" s="65">
        <v>-42.0</v>
      </c>
      <c r="F72" s="218">
        <v>101.03</v>
      </c>
      <c r="G72" s="219">
        <v>45754.0</v>
      </c>
      <c r="H72" s="67">
        <v>-0.04291398256915502</v>
      </c>
      <c r="I72" s="218">
        <v>4243.26</v>
      </c>
    </row>
    <row r="73" ht="15.75" customHeight="1">
      <c r="A73" s="65" t="s">
        <v>289</v>
      </c>
      <c r="B73" s="65" t="s">
        <v>290</v>
      </c>
      <c r="C73" s="65" t="s">
        <v>69</v>
      </c>
      <c r="D73" s="65" t="s">
        <v>253</v>
      </c>
      <c r="E73" s="65">
        <v>-78.0</v>
      </c>
      <c r="F73" s="218">
        <v>63.33</v>
      </c>
      <c r="G73" s="219">
        <v>45754.0</v>
      </c>
      <c r="H73" s="67">
        <v>0.14665942422596423</v>
      </c>
      <c r="I73" s="218">
        <v>4939.74</v>
      </c>
    </row>
    <row r="74" ht="15.75" customHeight="1">
      <c r="A74" s="65" t="s">
        <v>323</v>
      </c>
      <c r="B74" s="65" t="s">
        <v>324</v>
      </c>
      <c r="C74" s="65" t="s">
        <v>69</v>
      </c>
      <c r="D74" s="65" t="s">
        <v>253</v>
      </c>
      <c r="E74" s="65">
        <v>-93.0</v>
      </c>
      <c r="F74" s="218">
        <v>55.405</v>
      </c>
      <c r="G74" s="219">
        <v>45754.0</v>
      </c>
      <c r="H74" s="67">
        <v>-0.01274055595153234</v>
      </c>
      <c r="I74" s="218">
        <v>5152.665</v>
      </c>
    </row>
    <row r="75" ht="15.75" customHeight="1">
      <c r="A75" s="65" t="s">
        <v>306</v>
      </c>
      <c r="B75" s="65" t="s">
        <v>332</v>
      </c>
      <c r="C75" s="65" t="s">
        <v>69</v>
      </c>
      <c r="D75" s="65" t="s">
        <v>264</v>
      </c>
      <c r="E75" s="65">
        <v>18.0</v>
      </c>
      <c r="F75" s="218">
        <v>212.14</v>
      </c>
      <c r="G75" s="219">
        <v>45754.0</v>
      </c>
      <c r="H75" s="67" t="s">
        <v>278</v>
      </c>
      <c r="I75" s="218">
        <v>-3818.5199999999995</v>
      </c>
    </row>
    <row r="76" ht="15.75" customHeight="1">
      <c r="A76" s="65" t="s">
        <v>333</v>
      </c>
      <c r="B76" s="65" t="s">
        <v>334</v>
      </c>
      <c r="C76" s="65" t="s">
        <v>69</v>
      </c>
      <c r="D76" s="65" t="s">
        <v>264</v>
      </c>
      <c r="E76" s="65">
        <v>26.0</v>
      </c>
      <c r="F76" s="218">
        <v>171.8</v>
      </c>
      <c r="G76" s="219">
        <v>45754.0</v>
      </c>
      <c r="H76" s="67" t="s">
        <v>278</v>
      </c>
      <c r="I76" s="218">
        <v>-4466.8</v>
      </c>
    </row>
    <row r="77" ht="15.75" customHeight="1">
      <c r="A77" s="220" t="s">
        <v>235</v>
      </c>
      <c r="B77" s="65" t="s">
        <v>286</v>
      </c>
      <c r="C77" s="65" t="s">
        <v>69</v>
      </c>
      <c r="D77" s="65" t="s">
        <v>264</v>
      </c>
      <c r="E77" s="65">
        <v>32.0</v>
      </c>
      <c r="F77" s="218">
        <v>138.91</v>
      </c>
      <c r="G77" s="219">
        <v>45754.0</v>
      </c>
      <c r="H77" s="67" t="s">
        <v>278</v>
      </c>
      <c r="I77" s="218">
        <v>-4445.12</v>
      </c>
    </row>
    <row r="78" ht="15.75" customHeight="1">
      <c r="A78" s="23" t="s">
        <v>109</v>
      </c>
      <c r="B78" s="23" t="s">
        <v>192</v>
      </c>
      <c r="C78" s="23" t="s">
        <v>81</v>
      </c>
      <c r="D78" s="23" t="s">
        <v>261</v>
      </c>
      <c r="E78" s="23">
        <v>-27.0</v>
      </c>
      <c r="F78" s="71">
        <v>421.72</v>
      </c>
      <c r="G78" s="50">
        <v>45771.0</v>
      </c>
      <c r="H78" s="19">
        <v>0.4051244460733683</v>
      </c>
      <c r="I78" s="71">
        <v>11386.44</v>
      </c>
    </row>
    <row r="79" ht="15.75" customHeight="1">
      <c r="A79" s="23" t="s">
        <v>110</v>
      </c>
      <c r="B79" s="23" t="s">
        <v>193</v>
      </c>
      <c r="C79" s="23" t="s">
        <v>81</v>
      </c>
      <c r="D79" s="23" t="s">
        <v>261</v>
      </c>
      <c r="E79" s="23">
        <v>-10.0</v>
      </c>
      <c r="F79" s="71">
        <v>427.69</v>
      </c>
      <c r="G79" s="50">
        <v>45771.0</v>
      </c>
      <c r="H79" s="19">
        <v>0.2695318315667812</v>
      </c>
      <c r="I79" s="71">
        <v>4276.9</v>
      </c>
    </row>
    <row r="80" ht="15.75" customHeight="1">
      <c r="A80" s="23" t="s">
        <v>112</v>
      </c>
      <c r="B80" s="23" t="s">
        <v>195</v>
      </c>
      <c r="C80" s="23" t="s">
        <v>81</v>
      </c>
      <c r="D80" s="23" t="s">
        <v>261</v>
      </c>
      <c r="E80" s="23">
        <v>-55.0</v>
      </c>
      <c r="F80" s="71">
        <v>225.42</v>
      </c>
      <c r="G80" s="50">
        <v>45771.0</v>
      </c>
      <c r="H80" s="19">
        <v>0.24507042253521116</v>
      </c>
      <c r="I80" s="71">
        <v>12398.099999999999</v>
      </c>
    </row>
    <row r="81" ht="15.75" customHeight="1">
      <c r="A81" s="23" t="s">
        <v>196</v>
      </c>
      <c r="B81" s="23" t="s">
        <v>197</v>
      </c>
      <c r="C81" s="23" t="s">
        <v>81</v>
      </c>
      <c r="D81" s="23" t="s">
        <v>261</v>
      </c>
      <c r="E81" s="23">
        <v>-299.0</v>
      </c>
      <c r="F81" s="71">
        <v>31.89</v>
      </c>
      <c r="G81" s="50">
        <v>45771.0</v>
      </c>
      <c r="H81" s="19">
        <v>0.11523662243989041</v>
      </c>
      <c r="I81" s="71">
        <v>9535.11</v>
      </c>
    </row>
    <row r="82" ht="15.75" customHeight="1">
      <c r="A82" s="23" t="s">
        <v>268</v>
      </c>
      <c r="B82" s="23" t="str">
        <f>IFERROR(VLOOKUP($A82, 'Sector Holdings'!$B$3:$C$130, 2, FALSE),"N/A")</f>
        <v>N/A</v>
      </c>
      <c r="C82" s="23" t="s">
        <v>81</v>
      </c>
      <c r="D82" s="23" t="s">
        <v>264</v>
      </c>
      <c r="E82" s="23">
        <v>406.0</v>
      </c>
      <c r="F82" s="71">
        <v>94.03</v>
      </c>
      <c r="G82" s="50">
        <v>45771.0</v>
      </c>
      <c r="H82" s="19" t="str">
        <f>IF(OR(D82="Sell to Trim", D82="Sell to Close"),F82/VLOOKUP(A82, 'Sector Holdings'!$B$3:$M$121, 11, FALSE) - 1, "N/A")</f>
        <v>N/A</v>
      </c>
      <c r="I82" s="71">
        <f>F82*E82*-1</f>
        <v>-38176.18</v>
      </c>
    </row>
    <row r="83" ht="15.75" customHeight="1">
      <c r="A83" s="220" t="s">
        <v>321</v>
      </c>
      <c r="B83" s="65" t="s">
        <v>322</v>
      </c>
      <c r="C83" s="65" t="s">
        <v>69</v>
      </c>
      <c r="D83" s="65" t="s">
        <v>253</v>
      </c>
      <c r="E83" s="65">
        <v>-41.0</v>
      </c>
      <c r="F83" s="65">
        <v>119.634</v>
      </c>
      <c r="G83" s="219">
        <v>45791.0</v>
      </c>
      <c r="H83" s="67">
        <v>-0.053977542305867376</v>
      </c>
      <c r="I83" s="218">
        <v>4904.994</v>
      </c>
    </row>
    <row r="84" ht="15.75" customHeight="1">
      <c r="A84" s="220" t="s">
        <v>295</v>
      </c>
      <c r="B84" s="65" t="s">
        <v>296</v>
      </c>
      <c r="C84" s="65" t="s">
        <v>69</v>
      </c>
      <c r="D84" s="65" t="s">
        <v>253</v>
      </c>
      <c r="E84" s="65">
        <v>-100.0</v>
      </c>
      <c r="F84" s="218">
        <v>50.53</v>
      </c>
      <c r="G84" s="219">
        <v>45791.0</v>
      </c>
      <c r="H84" s="67">
        <v>-0.014241123683183754</v>
      </c>
      <c r="I84" s="218">
        <v>5053.0</v>
      </c>
    </row>
    <row r="85" ht="15.75" customHeight="1">
      <c r="A85" s="220" t="s">
        <v>235</v>
      </c>
      <c r="B85" s="65" t="s">
        <v>286</v>
      </c>
      <c r="C85" s="65" t="s">
        <v>69</v>
      </c>
      <c r="D85" s="65" t="s">
        <v>253</v>
      </c>
      <c r="E85" s="65">
        <v>-32.0</v>
      </c>
      <c r="F85" s="218">
        <v>141.3</v>
      </c>
      <c r="G85" s="219">
        <v>45791.0</v>
      </c>
      <c r="H85" s="67">
        <v>0.017205384781513233</v>
      </c>
      <c r="I85" s="218">
        <v>4521.6</v>
      </c>
    </row>
    <row r="86" ht="15.75" customHeight="1">
      <c r="A86" s="220" t="s">
        <v>318</v>
      </c>
      <c r="B86" s="65" t="s">
        <v>319</v>
      </c>
      <c r="C86" s="65" t="s">
        <v>69</v>
      </c>
      <c r="D86" s="65" t="s">
        <v>253</v>
      </c>
      <c r="E86" s="65">
        <v>-87.0</v>
      </c>
      <c r="F86" s="218">
        <v>55.461</v>
      </c>
      <c r="G86" s="219">
        <v>45791.0</v>
      </c>
      <c r="H86" s="67">
        <v>-0.07333333333333336</v>
      </c>
      <c r="I86" s="218">
        <v>4825.107</v>
      </c>
    </row>
    <row r="87" ht="15.75" customHeight="1">
      <c r="A87" s="220" t="s">
        <v>333</v>
      </c>
      <c r="B87" s="65" t="s">
        <v>334</v>
      </c>
      <c r="C87" s="65" t="s">
        <v>69</v>
      </c>
      <c r="D87" s="65" t="s">
        <v>253</v>
      </c>
      <c r="E87" s="65">
        <v>-26.0</v>
      </c>
      <c r="F87" s="218">
        <v>188.2653846153846</v>
      </c>
      <c r="G87" s="219">
        <v>45791.0</v>
      </c>
      <c r="H87" s="67">
        <v>0.09584042267394977</v>
      </c>
      <c r="I87" s="218">
        <v>4894.9</v>
      </c>
    </row>
    <row r="88" ht="15.75" customHeight="1">
      <c r="A88" s="220" t="s">
        <v>306</v>
      </c>
      <c r="B88" s="65" t="s">
        <v>332</v>
      </c>
      <c r="C88" s="65" t="s">
        <v>69</v>
      </c>
      <c r="D88" s="65" t="s">
        <v>253</v>
      </c>
      <c r="E88" s="65">
        <v>-18.0</v>
      </c>
      <c r="F88" s="218">
        <v>272.38</v>
      </c>
      <c r="G88" s="219">
        <v>45791.0</v>
      </c>
      <c r="H88" s="67">
        <v>0.2839634203827661</v>
      </c>
      <c r="I88" s="218">
        <v>4902.84</v>
      </c>
    </row>
    <row r="89" ht="15.75" customHeight="1">
      <c r="A89" s="220" t="s">
        <v>313</v>
      </c>
      <c r="B89" s="65" t="s">
        <v>314</v>
      </c>
      <c r="C89" s="65" t="s">
        <v>69</v>
      </c>
      <c r="D89" s="65" t="s">
        <v>253</v>
      </c>
      <c r="E89" s="65">
        <v>-62.0</v>
      </c>
      <c r="F89" s="218">
        <v>69.9</v>
      </c>
      <c r="G89" s="219">
        <v>45791.0</v>
      </c>
      <c r="H89" s="67">
        <v>-0.01687763713080148</v>
      </c>
      <c r="I89" s="218">
        <v>4333.8</v>
      </c>
    </row>
    <row r="90" ht="15.75" customHeight="1">
      <c r="A90" s="220" t="s">
        <v>257</v>
      </c>
      <c r="B90" s="65" t="s">
        <v>317</v>
      </c>
      <c r="C90" s="65" t="s">
        <v>69</v>
      </c>
      <c r="D90" s="65" t="s">
        <v>261</v>
      </c>
      <c r="E90" s="65">
        <v>-10.0</v>
      </c>
      <c r="F90" s="218">
        <v>61.115</v>
      </c>
      <c r="G90" s="219">
        <v>45791.0</v>
      </c>
      <c r="H90" s="67">
        <v>0.10615384615384627</v>
      </c>
      <c r="I90" s="218">
        <v>611.15</v>
      </c>
    </row>
    <row r="91" ht="15.75" customHeight="1">
      <c r="A91" s="220" t="s">
        <v>138</v>
      </c>
      <c r="B91" s="65" t="str">
        <f>IFERROR(VLOOKUP($A91, 'Sector Holdings'!$B$3:$C$130, 2, FALSE),"N/A")</f>
        <v>N/A</v>
      </c>
      <c r="C91" s="65" t="s">
        <v>69</v>
      </c>
      <c r="D91" s="65" t="s">
        <v>264</v>
      </c>
      <c r="E91" s="65">
        <v>30.0</v>
      </c>
      <c r="F91" s="218">
        <v>163.91</v>
      </c>
      <c r="G91" s="219">
        <v>45791.0</v>
      </c>
      <c r="H91" s="67" t="str">
        <f>IF(OR(D91="Sell to Trim", D91="Sell to Close"),F91/VLOOKUP(A91, 'Sector Holdings'!$B$3:$M$121, 11, FALSE) - 1, "N/A")</f>
        <v>N/A</v>
      </c>
      <c r="I91" s="218">
        <f t="shared" ref="I91:I97" si="3">F91*E91*-1</f>
        <v>-4917.3</v>
      </c>
    </row>
    <row r="92" ht="15.75" customHeight="1">
      <c r="A92" s="65" t="s">
        <v>255</v>
      </c>
      <c r="B92" s="65" t="str">
        <f>IFERROR(VLOOKUP($A92, 'Sector Holdings'!$B$3:$C$130, 2, FALSE),"N/A")</f>
        <v>N/A</v>
      </c>
      <c r="C92" s="65" t="s">
        <v>69</v>
      </c>
      <c r="D92" s="65" t="s">
        <v>264</v>
      </c>
      <c r="E92" s="65">
        <v>52.0</v>
      </c>
      <c r="F92" s="66">
        <v>96.82</v>
      </c>
      <c r="G92" s="219">
        <v>45791.0</v>
      </c>
      <c r="H92" s="67" t="str">
        <f>IF(OR(D92="Sell to Trim", D92="Sell to Close"),F92/VLOOKUP(A92, 'Sector Holdings'!$B$3:$M$121, 11, FALSE) - 1, "N/A")</f>
        <v>N/A</v>
      </c>
      <c r="I92" s="218">
        <f t="shared" si="3"/>
        <v>-5034.64</v>
      </c>
    </row>
    <row r="93" ht="15.75" customHeight="1">
      <c r="A93" s="65" t="s">
        <v>140</v>
      </c>
      <c r="B93" s="65" t="str">
        <f>IFERROR(VLOOKUP($A93, 'Sector Holdings'!$B$3:$C$130, 2, FALSE),"N/A")</f>
        <v>N/A</v>
      </c>
      <c r="C93" s="65" t="s">
        <v>69</v>
      </c>
      <c r="D93" s="65" t="s">
        <v>264</v>
      </c>
      <c r="E93" s="65">
        <v>59.0</v>
      </c>
      <c r="F93" s="218">
        <v>85.4686</v>
      </c>
      <c r="G93" s="219">
        <v>45791.0</v>
      </c>
      <c r="H93" s="67" t="str">
        <f>IF(OR(D93="Sell to Trim", D93="Sell to Close"),F93/VLOOKUP(A93, 'Sector Holdings'!$B$3:$M$121, 11, FALSE) - 1, "N/A")</f>
        <v>N/A</v>
      </c>
      <c r="I93" s="218">
        <f t="shared" si="3"/>
        <v>-5042.6474</v>
      </c>
    </row>
    <row r="94" ht="15.75" customHeight="1">
      <c r="A94" s="65" t="s">
        <v>335</v>
      </c>
      <c r="B94" s="65" t="str">
        <f>IFERROR(VLOOKUP($A94, 'Sector Holdings'!$B$3:$C$130, 2, FALSE),"N/A")</f>
        <v>N/A</v>
      </c>
      <c r="C94" s="65" t="s">
        <v>69</v>
      </c>
      <c r="D94" s="65" t="s">
        <v>264</v>
      </c>
      <c r="E94" s="65">
        <v>448.0</v>
      </c>
      <c r="F94" s="218">
        <v>11.175</v>
      </c>
      <c r="G94" s="219">
        <v>45791.0</v>
      </c>
      <c r="H94" s="67" t="str">
        <f>IF(OR(D94="Sell to Trim", D94="Sell to Close"),F94/VLOOKUP(A94, 'Sector Holdings'!$B$3:$M$121, 11, FALSE) - 1, "N/A")</f>
        <v>N/A</v>
      </c>
      <c r="I94" s="218">
        <f t="shared" si="3"/>
        <v>-5006.4</v>
      </c>
    </row>
    <row r="95" ht="15.75" customHeight="1">
      <c r="A95" s="220" t="s">
        <v>258</v>
      </c>
      <c r="B95" s="65" t="str">
        <f>IFERROR(VLOOKUP($A95, 'Sector Holdings'!$B$3:$C$130, 2, FALSE),"N/A")</f>
        <v>N/A</v>
      </c>
      <c r="C95" s="65" t="s">
        <v>69</v>
      </c>
      <c r="D95" s="65" t="s">
        <v>264</v>
      </c>
      <c r="E95" s="65">
        <v>39.0</v>
      </c>
      <c r="F95" s="218">
        <v>108.435</v>
      </c>
      <c r="G95" s="219">
        <v>45791.0</v>
      </c>
      <c r="H95" s="67" t="str">
        <f>IF(OR(D95="Sell to Trim", D95="Sell to Close"),F95/VLOOKUP(A95, 'Sector Holdings'!$B$3:$M$121, 11, FALSE) - 1, "N/A")</f>
        <v>N/A</v>
      </c>
      <c r="I95" s="218">
        <f t="shared" si="3"/>
        <v>-4228.965</v>
      </c>
    </row>
    <row r="96" ht="15.75" customHeight="1">
      <c r="A96" s="220" t="s">
        <v>259</v>
      </c>
      <c r="B96" s="65" t="str">
        <f>IFERROR(VLOOKUP($A96, 'Sector Holdings'!$B$3:$C$130, 2, FALSE),"N/A")</f>
        <v>N/A</v>
      </c>
      <c r="C96" s="65" t="s">
        <v>69</v>
      </c>
      <c r="D96" s="65" t="s">
        <v>264</v>
      </c>
      <c r="E96" s="65">
        <v>156.0</v>
      </c>
      <c r="F96" s="218">
        <v>27.235</v>
      </c>
      <c r="G96" s="219">
        <v>45791.0</v>
      </c>
      <c r="H96" s="67" t="str">
        <f>IF(OR(D96="Sell to Trim", D96="Sell to Close"),F96/VLOOKUP(A96, 'Sector Holdings'!$B$3:$M$121, 11, FALSE) - 1, "N/A")</f>
        <v>N/A</v>
      </c>
      <c r="I96" s="218">
        <f t="shared" si="3"/>
        <v>-4248.66</v>
      </c>
    </row>
    <row r="97" ht="15.75" customHeight="1">
      <c r="A97" s="65" t="s">
        <v>254</v>
      </c>
      <c r="B97" s="65" t="str">
        <f>IFERROR(VLOOKUP($A97, 'Sector Holdings'!$B$3:$C$130, 2, FALSE),"N/A")</f>
        <v>N/A</v>
      </c>
      <c r="C97" s="65" t="s">
        <v>69</v>
      </c>
      <c r="D97" s="65" t="s">
        <v>264</v>
      </c>
      <c r="E97" s="65">
        <v>12.0</v>
      </c>
      <c r="F97" s="218">
        <v>412.3</v>
      </c>
      <c r="G97" s="219">
        <v>45791.0</v>
      </c>
      <c r="H97" s="67" t="str">
        <f>IF(OR(D97="Sell to Trim", D97="Sell to Close"),F97/VLOOKUP(A97, 'Sector Holdings'!$B$3:$M$121, 11, FALSE) - 1, "N/A")</f>
        <v>N/A</v>
      </c>
      <c r="I97" s="218">
        <f t="shared" si="3"/>
        <v>-4947.6</v>
      </c>
    </row>
    <row r="98" ht="15.75" customHeight="1">
      <c r="A98" s="65" t="s">
        <v>242</v>
      </c>
      <c r="B98" s="65" t="s">
        <v>315</v>
      </c>
      <c r="C98" s="65" t="s">
        <v>69</v>
      </c>
      <c r="D98" s="65" t="s">
        <v>260</v>
      </c>
      <c r="E98" s="65">
        <v>7.0</v>
      </c>
      <c r="F98" s="218">
        <v>61.1</v>
      </c>
      <c r="G98" s="219">
        <v>45791.0</v>
      </c>
      <c r="H98" s="67" t="s">
        <v>278</v>
      </c>
      <c r="I98" s="218">
        <v>-427.7</v>
      </c>
    </row>
    <row r="99" ht="15.75" customHeight="1">
      <c r="A99" s="65" t="s">
        <v>256</v>
      </c>
      <c r="B99" s="65" t="s">
        <v>320</v>
      </c>
      <c r="C99" s="65" t="s">
        <v>69</v>
      </c>
      <c r="D99" s="65" t="s">
        <v>260</v>
      </c>
      <c r="E99" s="65">
        <v>1.0</v>
      </c>
      <c r="F99" s="218">
        <v>184.69</v>
      </c>
      <c r="G99" s="219">
        <v>45791.0</v>
      </c>
      <c r="H99" s="67" t="s">
        <v>278</v>
      </c>
      <c r="I99" s="218">
        <v>-184.69</v>
      </c>
    </row>
    <row r="100" ht="15.75" customHeight="1">
      <c r="A100" s="23"/>
      <c r="B100" s="23" t="str">
        <f>IFERROR(VLOOKUP($A100, 'Sector Holdings'!$B$3:$C$130, 2, FALSE),"N/A")</f>
        <v>N/A</v>
      </c>
      <c r="F100" s="71"/>
      <c r="G100" s="50"/>
      <c r="H100" s="19" t="str">
        <f>IF(OR(D100="Sell to Trim", D100="Sell to Close"),F100/VLOOKUP(A100, 'Sector Holdings'!$B$3:$M$121, 11, FALSE) - 1, "N/A")</f>
        <v>N/A</v>
      </c>
      <c r="I100" s="71">
        <f t="shared" ref="I100:I101" si="4">F100*E100*-1</f>
        <v>0</v>
      </c>
    </row>
    <row r="101" ht="15.75" customHeight="1">
      <c r="A101" s="23"/>
      <c r="B101" s="23" t="str">
        <f>IFERROR(VLOOKUP($A101, 'Sector Holdings'!$B$3:$C$130, 2, FALSE),"N/A")</f>
        <v>N/A</v>
      </c>
      <c r="F101" s="71"/>
      <c r="G101" s="50"/>
      <c r="H101" s="19" t="str">
        <f>IF(OR(D101="Sell to Trim", D101="Sell to Close"),F101/VLOOKUP(A101, 'Sector Holdings'!$B$3:$M$121, 11, FALSE) - 1, "N/A")</f>
        <v>N/A</v>
      </c>
      <c r="I101" s="71">
        <f t="shared" si="4"/>
        <v>0</v>
      </c>
    </row>
    <row r="102" ht="15.75" customHeight="1">
      <c r="A102" s="23"/>
      <c r="F102" s="71"/>
      <c r="G102" s="50"/>
      <c r="H102" s="19"/>
      <c r="I102" s="71"/>
    </row>
    <row r="103" ht="15.75" customHeight="1">
      <c r="F103" s="71"/>
      <c r="G103" s="50"/>
      <c r="H103" s="19"/>
      <c r="I103" s="71"/>
    </row>
    <row r="104" ht="15.75" customHeight="1">
      <c r="F104" s="71"/>
      <c r="G104" s="50"/>
      <c r="H104" s="19"/>
      <c r="I104" s="71"/>
    </row>
    <row r="105" ht="15.75" customHeight="1">
      <c r="A105" s="23"/>
      <c r="B105" s="23"/>
      <c r="C105" s="23"/>
      <c r="D105" s="23"/>
      <c r="E105" s="23"/>
      <c r="F105" s="71"/>
      <c r="G105" s="50"/>
      <c r="H105" s="19"/>
      <c r="I105" s="71"/>
    </row>
    <row r="106" ht="15.75" customHeight="1">
      <c r="A106" s="18"/>
      <c r="B106" s="23"/>
      <c r="C106" s="23"/>
      <c r="D106" s="23"/>
      <c r="E106" s="23"/>
      <c r="F106" s="71"/>
      <c r="G106" s="50"/>
      <c r="H106" s="19"/>
      <c r="I106" s="71"/>
    </row>
    <row r="107" ht="15.75" customHeight="1">
      <c r="A107" s="18"/>
      <c r="B107" s="23"/>
      <c r="C107" s="23"/>
      <c r="D107" s="23"/>
      <c r="E107" s="23"/>
      <c r="F107" s="71"/>
      <c r="G107" s="50"/>
      <c r="H107" s="19"/>
      <c r="I107" s="71"/>
    </row>
    <row r="108" ht="15.75" customHeight="1">
      <c r="A108" s="18"/>
      <c r="B108" s="23"/>
      <c r="C108" s="23"/>
      <c r="D108" s="23"/>
      <c r="E108" s="23"/>
      <c r="F108" s="71"/>
      <c r="G108" s="50"/>
      <c r="H108" s="19"/>
      <c r="I108" s="71"/>
    </row>
    <row r="109" ht="15.75" customHeight="1">
      <c r="A109" s="18"/>
      <c r="B109" s="23"/>
      <c r="C109" s="23"/>
      <c r="D109" s="23"/>
      <c r="E109" s="23"/>
      <c r="F109" s="71"/>
      <c r="G109" s="50"/>
      <c r="H109" s="19"/>
      <c r="I109" s="71"/>
    </row>
    <row r="110" ht="15.75" customHeight="1">
      <c r="A110" s="18"/>
      <c r="B110" s="23"/>
      <c r="C110" s="23"/>
      <c r="D110" s="23"/>
      <c r="E110" s="23"/>
      <c r="F110" s="71"/>
      <c r="G110" s="50"/>
      <c r="H110" s="19"/>
      <c r="I110" s="71"/>
    </row>
    <row r="111" ht="15.75" customHeight="1">
      <c r="A111" s="18"/>
      <c r="B111" s="23"/>
      <c r="C111" s="23"/>
      <c r="D111" s="23"/>
      <c r="E111" s="23"/>
      <c r="F111" s="71"/>
      <c r="G111" s="50"/>
      <c r="H111" s="19"/>
      <c r="I111" s="71"/>
    </row>
    <row r="112" ht="15.75" customHeight="1">
      <c r="A112" s="23"/>
      <c r="B112" s="23"/>
      <c r="C112" s="23"/>
      <c r="D112" s="23"/>
      <c r="E112" s="23"/>
      <c r="F112" s="71"/>
      <c r="G112" s="50"/>
      <c r="H112" s="19"/>
      <c r="I112" s="71"/>
    </row>
    <row r="113" ht="15.75" customHeight="1">
      <c r="A113" s="18"/>
      <c r="B113" s="23"/>
      <c r="C113" s="23"/>
      <c r="D113" s="23"/>
      <c r="E113" s="23"/>
      <c r="F113" s="71"/>
      <c r="G113" s="50"/>
      <c r="H113" s="19"/>
      <c r="I113" s="71"/>
    </row>
    <row r="114" ht="15.75" customHeight="1">
      <c r="A114" s="18"/>
      <c r="B114" s="23"/>
      <c r="C114" s="23"/>
      <c r="D114" s="23"/>
      <c r="E114" s="23"/>
      <c r="F114" s="71"/>
      <c r="G114" s="50"/>
      <c r="H114" s="19"/>
      <c r="I114" s="71"/>
    </row>
    <row r="115" ht="15.75" customHeight="1">
      <c r="A115" s="18"/>
      <c r="B115" s="23"/>
      <c r="C115" s="23"/>
      <c r="D115" s="23"/>
      <c r="E115" s="23"/>
      <c r="F115" s="71"/>
      <c r="G115" s="50"/>
      <c r="H115" s="19"/>
      <c r="I115" s="71"/>
    </row>
    <row r="116" ht="15.75" customHeight="1">
      <c r="A116" s="18"/>
      <c r="B116" s="23"/>
      <c r="C116" s="23"/>
      <c r="D116" s="23"/>
      <c r="E116" s="23"/>
      <c r="F116" s="71"/>
      <c r="G116" s="50"/>
      <c r="H116" s="19"/>
      <c r="I116" s="71"/>
    </row>
    <row r="117" ht="15.75" customHeight="1">
      <c r="A117" s="18"/>
      <c r="B117" s="23"/>
      <c r="C117" s="23"/>
      <c r="D117" s="23"/>
      <c r="E117" s="23"/>
      <c r="F117" s="71"/>
      <c r="G117" s="50"/>
      <c r="H117" s="19"/>
      <c r="I117" s="71"/>
    </row>
    <row r="118" ht="15.75" customHeight="1">
      <c r="A118" s="18"/>
      <c r="B118" s="23"/>
      <c r="C118" s="23"/>
      <c r="D118" s="23"/>
      <c r="E118" s="23"/>
      <c r="F118" s="71"/>
      <c r="G118" s="50"/>
      <c r="H118" s="19"/>
      <c r="I118" s="71"/>
    </row>
    <row r="119" ht="15.75" customHeight="1">
      <c r="A119" s="18"/>
      <c r="B119" s="23"/>
      <c r="C119" s="23"/>
      <c r="D119" s="23"/>
      <c r="E119" s="23"/>
      <c r="F119" s="71"/>
      <c r="G119" s="50"/>
      <c r="H119" s="19"/>
      <c r="I119" s="71"/>
    </row>
    <row r="120" ht="15.75" customHeight="1">
      <c r="A120" s="18"/>
      <c r="B120" s="23"/>
      <c r="C120" s="23"/>
      <c r="D120" s="23"/>
      <c r="E120" s="23"/>
      <c r="F120" s="71"/>
      <c r="G120" s="50"/>
      <c r="H120" s="19"/>
      <c r="I120" s="71"/>
    </row>
    <row r="121" ht="15.75" customHeight="1">
      <c r="A121" s="18"/>
      <c r="B121" s="23"/>
      <c r="C121" s="23"/>
      <c r="D121" s="23"/>
      <c r="E121" s="23"/>
      <c r="F121" s="71"/>
      <c r="G121" s="50"/>
      <c r="H121" s="19"/>
      <c r="I121" s="71"/>
    </row>
    <row r="122" ht="15.75" customHeight="1">
      <c r="A122" s="18"/>
      <c r="B122" s="23"/>
      <c r="C122" s="23"/>
      <c r="D122" s="23"/>
      <c r="E122" s="23"/>
      <c r="F122" s="71"/>
      <c r="G122" s="50"/>
      <c r="H122" s="19"/>
      <c r="I122" s="71"/>
    </row>
    <row r="123" ht="15.75" customHeight="1">
      <c r="A123" s="18"/>
      <c r="B123" s="23"/>
      <c r="C123" s="23"/>
      <c r="D123" s="23"/>
      <c r="E123" s="23"/>
      <c r="F123" s="71"/>
      <c r="G123" s="50"/>
      <c r="H123" s="19"/>
      <c r="I123" s="71"/>
    </row>
    <row r="124" ht="15.75" customHeight="1">
      <c r="A124" s="18"/>
      <c r="B124" s="23"/>
      <c r="C124" s="23"/>
      <c r="D124" s="23"/>
      <c r="E124" s="23"/>
      <c r="F124" s="71"/>
      <c r="G124" s="50"/>
      <c r="H124" s="19"/>
      <c r="I124" s="71"/>
    </row>
    <row r="125" ht="15.75" customHeight="1">
      <c r="A125" s="23"/>
      <c r="B125" s="23"/>
      <c r="C125" s="23"/>
      <c r="D125" s="23"/>
      <c r="E125" s="23"/>
      <c r="F125" s="71"/>
      <c r="G125" s="50"/>
      <c r="H125" s="19"/>
      <c r="I125" s="71"/>
    </row>
    <row r="126" ht="15.75" customHeight="1">
      <c r="F126" s="71"/>
      <c r="G126" s="50"/>
      <c r="H126" s="19"/>
      <c r="I126" s="71"/>
    </row>
    <row r="127" ht="15.75" customHeight="1">
      <c r="A127" s="18"/>
      <c r="F127" s="71"/>
      <c r="G127" s="50"/>
      <c r="H127" s="19"/>
      <c r="I127" s="71"/>
    </row>
    <row r="128" ht="15.75" customHeight="1">
      <c r="A128" s="18"/>
      <c r="F128" s="71"/>
      <c r="G128" s="50"/>
      <c r="H128" s="19"/>
      <c r="I128" s="71"/>
    </row>
    <row r="129" ht="15.75" customHeight="1">
      <c r="A129" s="18"/>
      <c r="F129" s="71"/>
      <c r="G129" s="50"/>
      <c r="H129" s="19"/>
      <c r="I129" s="71"/>
    </row>
    <row r="130" ht="15.75" customHeight="1">
      <c r="A130" s="18"/>
      <c r="F130" s="71"/>
      <c r="G130" s="50"/>
      <c r="H130" s="19"/>
      <c r="I130" s="71"/>
    </row>
    <row r="131" ht="15.75" customHeight="1">
      <c r="A131" s="18"/>
      <c r="F131" s="71"/>
      <c r="G131" s="50"/>
      <c r="H131" s="19"/>
      <c r="I131" s="71"/>
    </row>
    <row r="132" ht="15.75" customHeight="1">
      <c r="F132" s="71"/>
      <c r="G132" s="50"/>
      <c r="H132" s="19"/>
      <c r="I132" s="71"/>
    </row>
    <row r="133" ht="15.75" customHeight="1">
      <c r="F133" s="71"/>
      <c r="G133" s="50"/>
      <c r="H133" s="19"/>
      <c r="I133" s="71"/>
    </row>
    <row r="134" ht="15.75" customHeight="1">
      <c r="A134" s="18"/>
      <c r="F134" s="71"/>
      <c r="G134" s="50"/>
      <c r="H134" s="19"/>
      <c r="I134" s="71"/>
    </row>
    <row r="135" ht="15.75" customHeight="1">
      <c r="A135" s="23"/>
      <c r="B135" s="23"/>
      <c r="C135" s="23"/>
      <c r="D135" s="23"/>
      <c r="E135" s="23"/>
      <c r="F135" s="71"/>
      <c r="G135" s="50"/>
      <c r="H135" s="19"/>
      <c r="I135" s="71"/>
    </row>
    <row r="136" ht="15.75" customHeight="1">
      <c r="A136" s="23"/>
      <c r="B136" s="23"/>
      <c r="C136" s="23"/>
      <c r="D136" s="23"/>
      <c r="E136" s="23"/>
      <c r="F136" s="71"/>
      <c r="G136" s="50"/>
      <c r="H136" s="19"/>
      <c r="I136" s="71"/>
    </row>
    <row r="137" ht="15.75" customHeight="1">
      <c r="A137" s="18"/>
      <c r="B137" s="23"/>
      <c r="C137" s="23"/>
      <c r="D137" s="23"/>
      <c r="E137" s="23"/>
      <c r="F137" s="71"/>
      <c r="G137" s="50"/>
      <c r="H137" s="19"/>
      <c r="I137" s="71"/>
    </row>
    <row r="138" ht="15.75" customHeight="1">
      <c r="A138" s="23"/>
      <c r="B138" s="23"/>
      <c r="C138" s="23"/>
      <c r="D138" s="23"/>
      <c r="E138" s="23"/>
      <c r="F138" s="71"/>
      <c r="G138" s="50"/>
      <c r="H138" s="19"/>
      <c r="I138" s="71"/>
    </row>
    <row r="139" ht="15.75" customHeight="1">
      <c r="A139" s="23"/>
      <c r="B139" s="23"/>
      <c r="C139" s="23"/>
      <c r="D139" s="23"/>
      <c r="E139" s="23"/>
      <c r="F139" s="71"/>
      <c r="G139" s="50"/>
      <c r="H139" s="19"/>
      <c r="I139" s="71"/>
    </row>
    <row r="140" ht="15.75" customHeight="1">
      <c r="A140" s="18"/>
      <c r="B140" s="23"/>
      <c r="C140" s="23"/>
      <c r="D140" s="23"/>
      <c r="E140" s="23"/>
      <c r="F140" s="71"/>
      <c r="G140" s="50"/>
      <c r="H140" s="19"/>
      <c r="I140" s="71"/>
    </row>
    <row r="141" ht="15.75" customHeight="1">
      <c r="F141" s="71"/>
      <c r="G141" s="50"/>
      <c r="H141" s="19"/>
      <c r="I141" s="71"/>
    </row>
    <row r="142" ht="15.75" customHeight="1">
      <c r="F142" s="71"/>
      <c r="G142" s="50"/>
      <c r="H142" s="19"/>
      <c r="I142" s="71"/>
    </row>
    <row r="143" ht="15.75" customHeight="1">
      <c r="F143" s="71"/>
      <c r="G143" s="50"/>
      <c r="H143" s="19"/>
      <c r="I143" s="71"/>
    </row>
    <row r="144" ht="15.75" customHeight="1">
      <c r="F144" s="71"/>
      <c r="G144" s="50"/>
      <c r="H144" s="19"/>
      <c r="I144" s="71"/>
    </row>
    <row r="145" ht="15.75" customHeight="1">
      <c r="F145" s="71"/>
      <c r="G145" s="50"/>
      <c r="H145" s="19"/>
      <c r="I145" s="71"/>
    </row>
    <row r="146" ht="15.75" customHeight="1">
      <c r="F146" s="71"/>
      <c r="G146" s="50"/>
      <c r="H146" s="19"/>
      <c r="I146" s="71"/>
    </row>
    <row r="147" ht="15.75" customHeight="1">
      <c r="F147" s="71"/>
      <c r="G147" s="50"/>
      <c r="H147" s="19"/>
      <c r="I147" s="71"/>
    </row>
    <row r="148" ht="15.75" customHeight="1">
      <c r="F148" s="71"/>
      <c r="G148" s="50"/>
      <c r="H148" s="19"/>
      <c r="I148" s="71"/>
    </row>
    <row r="149" ht="15.75" customHeight="1">
      <c r="F149" s="71"/>
      <c r="G149" s="50"/>
      <c r="H149" s="19"/>
      <c r="I149" s="71"/>
    </row>
    <row r="150" ht="15.75" customHeight="1">
      <c r="F150" s="71"/>
      <c r="G150" s="50"/>
      <c r="H150" s="19"/>
      <c r="I150" s="71"/>
    </row>
    <row r="151" ht="15.75" customHeight="1">
      <c r="F151" s="71"/>
      <c r="G151" s="50"/>
      <c r="H151" s="19"/>
      <c r="I151" s="71"/>
    </row>
    <row r="152" ht="15.75" customHeight="1">
      <c r="F152" s="71"/>
      <c r="G152" s="50"/>
      <c r="H152" s="19"/>
      <c r="I152" s="71"/>
    </row>
    <row r="153" ht="15.75" customHeight="1">
      <c r="F153" s="71"/>
      <c r="G153" s="50"/>
      <c r="H153" s="19"/>
      <c r="I153" s="71"/>
    </row>
    <row r="154" ht="15.75" customHeight="1">
      <c r="F154" s="71"/>
      <c r="G154" s="50"/>
      <c r="H154" s="19"/>
      <c r="I154" s="71"/>
    </row>
    <row r="155" ht="15.75" customHeight="1">
      <c r="F155" s="71"/>
      <c r="G155" s="50"/>
      <c r="H155" s="19"/>
      <c r="I155" s="71"/>
    </row>
    <row r="156" ht="15.75" customHeight="1">
      <c r="F156" s="71"/>
      <c r="G156" s="50"/>
      <c r="H156" s="19"/>
      <c r="I156" s="71"/>
    </row>
    <row r="157" ht="15.75" customHeight="1">
      <c r="F157" s="71"/>
      <c r="G157" s="50"/>
      <c r="H157" s="19"/>
      <c r="I157" s="71"/>
    </row>
    <row r="158" ht="15.75" customHeight="1">
      <c r="F158" s="71"/>
      <c r="G158" s="50"/>
      <c r="H158" s="19"/>
      <c r="I158" s="71"/>
    </row>
    <row r="159" ht="15.75" customHeight="1">
      <c r="F159" s="71"/>
      <c r="G159" s="50"/>
      <c r="H159" s="19"/>
      <c r="I159" s="71"/>
    </row>
    <row r="160" ht="15.75" customHeight="1">
      <c r="F160" s="71"/>
      <c r="G160" s="50"/>
      <c r="H160" s="19"/>
      <c r="I160" s="71"/>
    </row>
    <row r="161" ht="15.75" customHeight="1">
      <c r="A161" s="23"/>
      <c r="B161" s="23"/>
      <c r="C161" s="23"/>
      <c r="D161" s="23"/>
      <c r="E161" s="23"/>
      <c r="F161" s="71"/>
      <c r="G161" s="50"/>
      <c r="H161" s="19"/>
      <c r="I161" s="71"/>
    </row>
    <row r="162" ht="15.75" customHeight="1">
      <c r="A162" s="23"/>
      <c r="B162" s="23"/>
      <c r="C162" s="23"/>
      <c r="D162" s="23"/>
      <c r="E162" s="23"/>
      <c r="F162" s="71"/>
      <c r="G162" s="50"/>
      <c r="H162" s="19"/>
      <c r="I162" s="71"/>
    </row>
    <row r="163" ht="15.75" customHeight="1">
      <c r="A163" s="23"/>
      <c r="B163" s="23"/>
      <c r="C163" s="23"/>
      <c r="D163" s="23"/>
      <c r="E163" s="23"/>
      <c r="F163" s="71"/>
      <c r="G163" s="50"/>
      <c r="H163" s="19"/>
      <c r="I163" s="71"/>
    </row>
    <row r="164" ht="15.75" customHeight="1">
      <c r="A164" s="23"/>
      <c r="B164" s="23"/>
      <c r="C164" s="23"/>
      <c r="D164" s="23"/>
      <c r="E164" s="23"/>
      <c r="F164" s="71"/>
      <c r="G164" s="50"/>
      <c r="H164" s="19"/>
      <c r="I164" s="71"/>
    </row>
    <row r="165" ht="15.75" customHeight="1">
      <c r="A165" s="23"/>
      <c r="B165" s="23"/>
      <c r="C165" s="23"/>
      <c r="D165" s="23"/>
      <c r="E165" s="23"/>
      <c r="F165" s="71"/>
      <c r="G165" s="50"/>
      <c r="H165" s="19"/>
      <c r="I165" s="71"/>
    </row>
    <row r="166" ht="15.75" customHeight="1">
      <c r="A166" s="23"/>
      <c r="B166" s="23"/>
      <c r="C166" s="23"/>
      <c r="D166" s="23"/>
      <c r="E166" s="23"/>
      <c r="F166" s="71"/>
      <c r="G166" s="50"/>
      <c r="H166" s="19"/>
      <c r="I166" s="71"/>
    </row>
    <row r="167" ht="15.75" customHeight="1">
      <c r="A167" s="23"/>
      <c r="B167" s="23"/>
      <c r="C167" s="23"/>
      <c r="D167" s="23"/>
      <c r="E167" s="23"/>
      <c r="F167" s="71"/>
      <c r="G167" s="50"/>
      <c r="H167" s="19"/>
      <c r="I167" s="71"/>
    </row>
    <row r="168" ht="15.75" customHeight="1">
      <c r="B168" s="23" t="str">
        <f>IFERROR(VLOOKUP($A168, 'Sector Holdings'!$B$3:$C$130, 2, FALSE),"N/A")</f>
        <v>N/A</v>
      </c>
      <c r="F168" s="71"/>
      <c r="G168" s="50"/>
      <c r="H168" s="19" t="str">
        <f>IF(OR(D168="Sell to Trim", D168="Sell to Close"),F168/VLOOKUP(A168, 'Sector Holdings'!$B$3:$M$121, 11, FALSE) - 1, "N/A")</f>
        <v>N/A</v>
      </c>
      <c r="I168" s="71">
        <f>F168*E168*-1</f>
        <v>0</v>
      </c>
    </row>
    <row r="169" ht="15.75" customHeight="1">
      <c r="F169" s="71"/>
      <c r="G169" s="50"/>
      <c r="H169" s="19"/>
      <c r="I169" s="71"/>
    </row>
    <row r="170" ht="15.75" customHeight="1">
      <c r="F170" s="71"/>
      <c r="G170" s="50"/>
      <c r="H170" s="19"/>
      <c r="I170" s="71"/>
    </row>
    <row r="171" ht="15.75" customHeight="1">
      <c r="F171" s="71"/>
      <c r="G171" s="50"/>
      <c r="H171" s="19"/>
      <c r="I171" s="71"/>
    </row>
    <row r="172" ht="15.75" customHeight="1">
      <c r="F172" s="71"/>
      <c r="G172" s="50"/>
      <c r="H172" s="19"/>
      <c r="I172" s="71"/>
    </row>
    <row r="173" ht="15.75" customHeight="1">
      <c r="F173" s="71"/>
      <c r="G173" s="50"/>
      <c r="H173" s="19"/>
      <c r="I173" s="71"/>
    </row>
    <row r="174" ht="15.75" customHeight="1">
      <c r="F174" s="71"/>
      <c r="G174" s="50"/>
      <c r="H174" s="19"/>
      <c r="I174" s="71"/>
    </row>
    <row r="175" ht="15.75" customHeight="1">
      <c r="F175" s="71"/>
      <c r="G175" s="50"/>
      <c r="H175" s="19"/>
      <c r="I175" s="71"/>
    </row>
    <row r="176" ht="15.75" customHeight="1">
      <c r="F176" s="71"/>
      <c r="G176" s="50"/>
      <c r="H176" s="19"/>
      <c r="I176" s="71"/>
    </row>
    <row r="177" ht="15.75" customHeight="1">
      <c r="F177" s="71"/>
      <c r="G177" s="50"/>
      <c r="H177" s="19"/>
      <c r="I177" s="71"/>
    </row>
    <row r="178" ht="15.75" customHeight="1">
      <c r="F178" s="71"/>
      <c r="G178" s="50"/>
      <c r="H178" s="19"/>
      <c r="I178" s="71"/>
    </row>
    <row r="179" ht="15.75" customHeight="1">
      <c r="F179" s="71"/>
      <c r="G179" s="50"/>
      <c r="H179" s="19"/>
      <c r="I179" s="71"/>
    </row>
    <row r="180" ht="15.75" customHeight="1">
      <c r="F180" s="71"/>
      <c r="G180" s="50"/>
      <c r="H180" s="19"/>
      <c r="I180" s="71"/>
    </row>
    <row r="181" ht="15.75" customHeight="1">
      <c r="F181" s="71"/>
      <c r="G181" s="50"/>
      <c r="H181" s="19"/>
      <c r="I181" s="71"/>
    </row>
    <row r="182" ht="15.75" customHeight="1">
      <c r="F182" s="71"/>
      <c r="G182" s="50"/>
      <c r="H182" s="19"/>
      <c r="I182" s="71"/>
    </row>
    <row r="183" ht="15.75" customHeight="1">
      <c r="F183" s="71"/>
      <c r="G183" s="50"/>
      <c r="H183" s="19"/>
      <c r="I183" s="71"/>
    </row>
    <row r="184" ht="15.75" customHeight="1">
      <c r="F184" s="71"/>
      <c r="G184" s="50"/>
      <c r="H184" s="19"/>
      <c r="I184" s="71"/>
    </row>
    <row r="185" ht="15.75" customHeight="1">
      <c r="F185" s="71"/>
      <c r="G185" s="50"/>
      <c r="H185" s="19"/>
      <c r="I185" s="71"/>
    </row>
    <row r="186" ht="15.75" customHeight="1">
      <c r="F186" s="71"/>
      <c r="G186" s="50"/>
      <c r="H186" s="19"/>
      <c r="I186" s="71"/>
    </row>
    <row r="187" ht="15.75" customHeight="1">
      <c r="F187" s="71"/>
      <c r="G187" s="50"/>
      <c r="H187" s="19"/>
      <c r="I187" s="71"/>
    </row>
    <row r="188" ht="15.75" customHeight="1">
      <c r="F188" s="71"/>
      <c r="G188" s="50"/>
      <c r="H188" s="19"/>
      <c r="I188" s="71"/>
    </row>
    <row r="189" ht="15.75" customHeight="1">
      <c r="F189" s="71"/>
      <c r="G189" s="50"/>
      <c r="H189" s="19"/>
      <c r="I189" s="71"/>
    </row>
    <row r="190" ht="15.75" customHeight="1">
      <c r="F190" s="71"/>
      <c r="G190" s="50"/>
      <c r="H190" s="19"/>
      <c r="I190" s="71"/>
    </row>
    <row r="191" ht="15.75" customHeight="1">
      <c r="F191" s="71"/>
      <c r="G191" s="50"/>
      <c r="H191" s="19"/>
      <c r="I191" s="71"/>
    </row>
    <row r="192" ht="15.75" customHeight="1">
      <c r="F192" s="71"/>
      <c r="G192" s="50"/>
      <c r="H192" s="19"/>
      <c r="I192" s="71"/>
    </row>
    <row r="193" ht="15.75" customHeight="1">
      <c r="F193" s="71"/>
      <c r="G193" s="50"/>
      <c r="H193" s="19"/>
      <c r="I193" s="71"/>
    </row>
    <row r="194" ht="15.75" customHeight="1">
      <c r="F194" s="71"/>
      <c r="G194" s="50"/>
      <c r="H194" s="19"/>
      <c r="I194" s="71"/>
    </row>
    <row r="195" ht="15.75" customHeight="1">
      <c r="F195" s="71"/>
      <c r="G195" s="50"/>
      <c r="H195" s="19"/>
      <c r="I195" s="71"/>
    </row>
    <row r="196" ht="15.75" customHeight="1">
      <c r="F196" s="71"/>
      <c r="G196" s="50"/>
      <c r="H196" s="19"/>
      <c r="I196" s="71"/>
    </row>
    <row r="197" ht="15.75" customHeight="1">
      <c r="F197" s="71"/>
      <c r="G197" s="50"/>
      <c r="H197" s="19"/>
      <c r="I197" s="71"/>
    </row>
    <row r="198" ht="15.75" customHeight="1">
      <c r="F198" s="71"/>
      <c r="G198" s="50"/>
      <c r="H198" s="19"/>
      <c r="I198" s="71"/>
    </row>
    <row r="199" ht="15.75" customHeight="1">
      <c r="F199" s="71"/>
      <c r="G199" s="50"/>
      <c r="H199" s="19"/>
      <c r="I199" s="71"/>
    </row>
    <row r="200" ht="15.75" customHeight="1">
      <c r="F200" s="71"/>
      <c r="G200" s="50"/>
      <c r="H200" s="19"/>
      <c r="I200" s="71"/>
    </row>
    <row r="201" ht="15.75" customHeight="1">
      <c r="F201" s="71"/>
      <c r="G201" s="50"/>
      <c r="H201" s="19"/>
      <c r="I201" s="71"/>
    </row>
    <row r="202" ht="15.75" customHeight="1">
      <c r="F202" s="71"/>
      <c r="G202" s="50"/>
      <c r="H202" s="19"/>
      <c r="I202" s="71"/>
    </row>
    <row r="203" ht="15.75" customHeight="1">
      <c r="F203" s="71"/>
      <c r="G203" s="50"/>
      <c r="H203" s="19"/>
      <c r="I203" s="71"/>
    </row>
    <row r="204" ht="15.75" customHeight="1">
      <c r="F204" s="71"/>
      <c r="G204" s="50"/>
      <c r="H204" s="19"/>
      <c r="I204" s="71"/>
    </row>
    <row r="205" ht="15.75" customHeight="1">
      <c r="F205" s="71"/>
      <c r="G205" s="50"/>
      <c r="H205" s="19"/>
      <c r="I205" s="71"/>
    </row>
    <row r="206" ht="15.75" customHeight="1">
      <c r="F206" s="71"/>
      <c r="G206" s="50"/>
      <c r="H206" s="19"/>
      <c r="I206" s="71"/>
    </row>
    <row r="207" ht="15.75" customHeight="1">
      <c r="F207" s="71"/>
      <c r="G207" s="50"/>
      <c r="H207" s="19"/>
      <c r="I207" s="71"/>
    </row>
    <row r="208" ht="15.75" customHeight="1">
      <c r="F208" s="71"/>
      <c r="G208" s="50"/>
      <c r="H208" s="19"/>
      <c r="I208" s="71"/>
    </row>
    <row r="209" ht="15.75" customHeight="1">
      <c r="F209" s="71"/>
      <c r="G209" s="50"/>
      <c r="H209" s="19"/>
      <c r="I209" s="71"/>
    </row>
    <row r="210" ht="15.75" customHeight="1">
      <c r="F210" s="71"/>
      <c r="G210" s="50"/>
      <c r="H210" s="19"/>
      <c r="I210" s="71"/>
    </row>
    <row r="211" ht="15.75" customHeight="1">
      <c r="F211" s="71"/>
      <c r="G211" s="50"/>
      <c r="H211" s="19"/>
      <c r="I211" s="71"/>
    </row>
    <row r="212" ht="15.75" customHeight="1">
      <c r="F212" s="71"/>
      <c r="G212" s="50"/>
      <c r="H212" s="19"/>
      <c r="I212" s="71"/>
    </row>
    <row r="213" ht="15.75" customHeight="1">
      <c r="F213" s="71"/>
      <c r="G213" s="50"/>
      <c r="H213" s="19"/>
      <c r="I213" s="71"/>
    </row>
    <row r="214" ht="15.75" customHeight="1">
      <c r="F214" s="71"/>
      <c r="G214" s="50"/>
      <c r="H214" s="19"/>
      <c r="I214" s="71"/>
    </row>
    <row r="215" ht="15.75" customHeight="1">
      <c r="F215" s="71"/>
      <c r="G215" s="50"/>
      <c r="H215" s="19"/>
      <c r="I215" s="71"/>
    </row>
    <row r="216" ht="15.75" customHeight="1">
      <c r="F216" s="71"/>
      <c r="G216" s="50"/>
      <c r="H216" s="19"/>
      <c r="I216" s="71"/>
    </row>
    <row r="217" ht="15.75" customHeight="1">
      <c r="F217" s="71"/>
      <c r="G217" s="50"/>
      <c r="H217" s="19"/>
      <c r="I217" s="71"/>
    </row>
    <row r="218" ht="15.75" customHeight="1">
      <c r="F218" s="71"/>
      <c r="G218" s="50"/>
      <c r="H218" s="19"/>
      <c r="I218" s="71"/>
    </row>
    <row r="219" ht="15.75" customHeight="1">
      <c r="F219" s="71"/>
      <c r="G219" s="50"/>
      <c r="H219" s="19"/>
      <c r="I219" s="71"/>
    </row>
    <row r="220" ht="15.75" customHeight="1">
      <c r="F220" s="71"/>
      <c r="G220" s="50"/>
      <c r="H220" s="19"/>
      <c r="I220" s="71"/>
    </row>
    <row r="221" ht="15.75" customHeight="1">
      <c r="F221" s="71"/>
      <c r="G221" s="50"/>
      <c r="H221" s="19"/>
      <c r="I221" s="71"/>
    </row>
    <row r="222" ht="15.75" customHeight="1">
      <c r="F222" s="71"/>
      <c r="G222" s="50"/>
      <c r="H222" s="19"/>
      <c r="I222" s="71"/>
    </row>
    <row r="223" ht="15.75" customHeight="1">
      <c r="F223" s="71"/>
      <c r="G223" s="50"/>
      <c r="H223" s="19"/>
      <c r="I223" s="71"/>
    </row>
    <row r="224" ht="15.75" customHeight="1">
      <c r="F224" s="71"/>
      <c r="G224" s="50"/>
      <c r="H224" s="19"/>
      <c r="I224" s="71"/>
    </row>
    <row r="225" ht="15.75" customHeight="1">
      <c r="F225" s="71"/>
      <c r="G225" s="50"/>
      <c r="H225" s="19"/>
      <c r="I225" s="71"/>
    </row>
    <row r="226" ht="15.75" customHeight="1">
      <c r="F226" s="71"/>
      <c r="G226" s="50"/>
      <c r="H226" s="19"/>
      <c r="I226" s="71"/>
    </row>
    <row r="227" ht="15.75" customHeight="1">
      <c r="F227" s="71"/>
      <c r="G227" s="50"/>
      <c r="H227" s="19"/>
      <c r="I227" s="71"/>
    </row>
    <row r="228" ht="15.75" customHeight="1">
      <c r="F228" s="71"/>
      <c r="G228" s="50"/>
      <c r="H228" s="19"/>
      <c r="I228" s="71"/>
    </row>
    <row r="229" ht="15.75" customHeight="1">
      <c r="F229" s="71"/>
      <c r="G229" s="50"/>
      <c r="H229" s="19"/>
      <c r="I229" s="71"/>
    </row>
    <row r="230" ht="15.75" customHeight="1">
      <c r="F230" s="71"/>
      <c r="G230" s="50"/>
      <c r="H230" s="19"/>
      <c r="I230" s="71"/>
    </row>
    <row r="231" ht="15.75" customHeight="1">
      <c r="F231" s="71"/>
      <c r="G231" s="50"/>
      <c r="H231" s="19"/>
      <c r="I231" s="71"/>
    </row>
    <row r="232" ht="15.75" customHeight="1">
      <c r="F232" s="71"/>
      <c r="G232" s="50"/>
      <c r="H232" s="19"/>
      <c r="I232" s="71"/>
    </row>
    <row r="233" ht="15.75" customHeight="1">
      <c r="F233" s="71"/>
      <c r="G233" s="50"/>
      <c r="H233" s="19"/>
      <c r="I233" s="71"/>
    </row>
    <row r="234" ht="15.75" customHeight="1">
      <c r="F234" s="71"/>
      <c r="G234" s="50"/>
      <c r="H234" s="19"/>
      <c r="I234" s="71"/>
    </row>
    <row r="235" ht="15.75" customHeight="1">
      <c r="F235" s="71"/>
      <c r="G235" s="50"/>
      <c r="H235" s="19"/>
      <c r="I235" s="71"/>
    </row>
    <row r="236" ht="15.75" customHeight="1">
      <c r="F236" s="71"/>
      <c r="G236" s="50"/>
      <c r="H236" s="19"/>
      <c r="I236" s="71"/>
    </row>
    <row r="237" ht="15.75" customHeight="1">
      <c r="F237" s="71"/>
      <c r="G237" s="50"/>
      <c r="H237" s="19"/>
      <c r="I237" s="71"/>
    </row>
    <row r="238" ht="15.75" customHeight="1">
      <c r="F238" s="71"/>
      <c r="G238" s="50"/>
      <c r="H238" s="19"/>
      <c r="I238" s="71"/>
    </row>
    <row r="239" ht="15.75" customHeight="1">
      <c r="F239" s="71"/>
      <c r="G239" s="50"/>
      <c r="H239" s="19"/>
      <c r="I239" s="71"/>
    </row>
    <row r="240" ht="15.75" customHeight="1">
      <c r="F240" s="71"/>
      <c r="G240" s="50"/>
      <c r="H240" s="19"/>
      <c r="I240" s="71"/>
    </row>
    <row r="241" ht="15.75" customHeight="1">
      <c r="F241" s="71"/>
      <c r="G241" s="50"/>
      <c r="H241" s="19"/>
      <c r="I241" s="71"/>
    </row>
    <row r="242" ht="15.75" customHeight="1">
      <c r="F242" s="71"/>
      <c r="G242" s="50"/>
      <c r="H242" s="19"/>
      <c r="I242" s="71"/>
    </row>
    <row r="243" ht="15.75" customHeight="1">
      <c r="F243" s="71"/>
      <c r="G243" s="50"/>
      <c r="H243" s="19"/>
      <c r="I243" s="71"/>
    </row>
    <row r="244" ht="15.75" customHeight="1">
      <c r="F244" s="71"/>
      <c r="G244" s="50"/>
      <c r="H244" s="19"/>
      <c r="I244" s="71"/>
    </row>
    <row r="245" ht="15.75" customHeight="1">
      <c r="F245" s="71"/>
      <c r="G245" s="50"/>
      <c r="H245" s="19"/>
      <c r="I245" s="71"/>
    </row>
    <row r="246" ht="15.75" customHeight="1">
      <c r="F246" s="71"/>
      <c r="G246" s="50"/>
      <c r="H246" s="19"/>
      <c r="I246" s="71"/>
    </row>
    <row r="247" ht="15.75" customHeight="1">
      <c r="F247" s="71"/>
      <c r="G247" s="50"/>
      <c r="H247" s="19"/>
      <c r="I247" s="71"/>
    </row>
    <row r="248" ht="15.75" customHeight="1">
      <c r="F248" s="71"/>
      <c r="G248" s="50"/>
      <c r="H248" s="19"/>
      <c r="I248" s="71"/>
    </row>
    <row r="249" ht="15.75" customHeight="1">
      <c r="F249" s="71"/>
      <c r="G249" s="50"/>
      <c r="H249" s="19"/>
      <c r="I249" s="71"/>
    </row>
    <row r="250" ht="15.75" customHeight="1">
      <c r="F250" s="71"/>
      <c r="G250" s="50"/>
      <c r="H250" s="19"/>
      <c r="I250" s="71"/>
    </row>
    <row r="251" ht="15.75" customHeight="1">
      <c r="F251" s="71"/>
      <c r="G251" s="50"/>
      <c r="H251" s="19"/>
      <c r="I251" s="71"/>
    </row>
    <row r="252" ht="15.75" customHeight="1">
      <c r="F252" s="71"/>
      <c r="G252" s="50"/>
      <c r="H252" s="19"/>
      <c r="I252" s="71"/>
    </row>
    <row r="253" ht="15.75" customHeight="1">
      <c r="F253" s="71"/>
      <c r="G253" s="50"/>
      <c r="H253" s="19"/>
      <c r="I253" s="71"/>
    </row>
    <row r="254" ht="15.75" customHeight="1">
      <c r="F254" s="71"/>
      <c r="G254" s="50"/>
      <c r="H254" s="19"/>
      <c r="I254" s="71"/>
    </row>
    <row r="255" ht="15.75" customHeight="1">
      <c r="F255" s="71"/>
      <c r="G255" s="50"/>
      <c r="H255" s="19"/>
      <c r="I255" s="71"/>
    </row>
    <row r="256" ht="15.75" customHeight="1">
      <c r="F256" s="71"/>
      <c r="G256" s="50"/>
      <c r="H256" s="19"/>
      <c r="I256" s="71"/>
    </row>
    <row r="257" ht="15.75" customHeight="1">
      <c r="F257" s="71"/>
      <c r="G257" s="50"/>
      <c r="H257" s="19"/>
      <c r="I257" s="71"/>
    </row>
    <row r="258" ht="15.75" customHeight="1">
      <c r="F258" s="71"/>
      <c r="G258" s="50"/>
      <c r="H258" s="19"/>
      <c r="I258" s="71"/>
    </row>
    <row r="259" ht="15.75" customHeight="1">
      <c r="F259" s="71"/>
      <c r="G259" s="50"/>
      <c r="H259" s="19"/>
      <c r="I259" s="71"/>
    </row>
    <row r="260" ht="15.75" customHeight="1">
      <c r="F260" s="71"/>
      <c r="G260" s="50"/>
      <c r="H260" s="19"/>
      <c r="I260" s="71"/>
    </row>
    <row r="261" ht="15.75" customHeight="1">
      <c r="F261" s="71"/>
      <c r="G261" s="50"/>
      <c r="H261" s="19"/>
      <c r="I261" s="71"/>
    </row>
    <row r="262" ht="15.75" customHeight="1">
      <c r="F262" s="71"/>
      <c r="G262" s="50"/>
      <c r="H262" s="19"/>
      <c r="I262" s="71"/>
    </row>
    <row r="263" ht="15.75" customHeight="1">
      <c r="F263" s="71"/>
      <c r="G263" s="50"/>
      <c r="H263" s="19"/>
      <c r="I263" s="71"/>
    </row>
    <row r="264" ht="15.75" customHeight="1">
      <c r="F264" s="71"/>
      <c r="G264" s="50"/>
      <c r="H264" s="19"/>
      <c r="I264" s="71"/>
    </row>
    <row r="265" ht="15.75" customHeight="1">
      <c r="F265" s="71"/>
      <c r="G265" s="50"/>
      <c r="H265" s="19"/>
      <c r="I265" s="71"/>
    </row>
    <row r="266" ht="15.75" customHeight="1">
      <c r="F266" s="71"/>
      <c r="G266" s="50"/>
      <c r="H266" s="19"/>
      <c r="I266" s="71"/>
    </row>
    <row r="267" ht="15.75" customHeight="1">
      <c r="F267" s="71"/>
      <c r="G267" s="50"/>
      <c r="H267" s="19"/>
      <c r="I267" s="71"/>
    </row>
    <row r="268" ht="15.75" customHeight="1">
      <c r="F268" s="71"/>
      <c r="G268" s="50"/>
      <c r="H268" s="19"/>
      <c r="I268" s="71"/>
    </row>
    <row r="269" ht="15.75" customHeight="1">
      <c r="F269" s="71"/>
      <c r="G269" s="50"/>
      <c r="H269" s="19"/>
      <c r="I269" s="71"/>
    </row>
    <row r="270" ht="15.75" customHeight="1">
      <c r="F270" s="71"/>
      <c r="G270" s="50"/>
      <c r="H270" s="19"/>
      <c r="I270" s="71"/>
    </row>
    <row r="271" ht="15.75" customHeight="1">
      <c r="F271" s="71"/>
      <c r="G271" s="50"/>
      <c r="H271" s="19"/>
      <c r="I271" s="71"/>
    </row>
    <row r="272" ht="15.75" customHeight="1">
      <c r="F272" s="71"/>
      <c r="G272" s="50"/>
      <c r="H272" s="19"/>
      <c r="I272" s="71"/>
    </row>
    <row r="273" ht="15.75" customHeight="1">
      <c r="F273" s="71"/>
      <c r="G273" s="50"/>
      <c r="H273" s="19"/>
      <c r="I273" s="71"/>
    </row>
    <row r="274" ht="15.75" customHeight="1">
      <c r="F274" s="71"/>
      <c r="G274" s="50"/>
      <c r="H274" s="19"/>
      <c r="I274" s="71"/>
    </row>
    <row r="275" ht="15.75" customHeight="1">
      <c r="F275" s="71"/>
      <c r="G275" s="50"/>
      <c r="H275" s="19"/>
      <c r="I275" s="71"/>
    </row>
    <row r="276" ht="15.75" customHeight="1">
      <c r="F276" s="71"/>
      <c r="G276" s="50"/>
      <c r="H276" s="19"/>
      <c r="I276" s="71"/>
    </row>
    <row r="277" ht="15.75" customHeight="1">
      <c r="F277" s="71"/>
      <c r="G277" s="50"/>
      <c r="H277" s="19"/>
      <c r="I277" s="71"/>
    </row>
    <row r="278" ht="15.75" customHeight="1">
      <c r="F278" s="71"/>
      <c r="G278" s="50"/>
      <c r="H278" s="19"/>
      <c r="I278" s="71"/>
    </row>
    <row r="279" ht="15.75" customHeight="1">
      <c r="F279" s="71"/>
      <c r="G279" s="50"/>
      <c r="H279" s="19"/>
      <c r="I279" s="71"/>
    </row>
    <row r="280" ht="15.75" customHeight="1">
      <c r="F280" s="71"/>
      <c r="G280" s="50"/>
      <c r="H280" s="19"/>
      <c r="I280" s="71"/>
    </row>
    <row r="281" ht="15.75" customHeight="1">
      <c r="F281" s="71"/>
      <c r="G281" s="50"/>
      <c r="H281" s="19"/>
      <c r="I281" s="71"/>
    </row>
    <row r="282" ht="15.75" customHeight="1">
      <c r="F282" s="71"/>
      <c r="G282" s="50"/>
      <c r="H282" s="19"/>
      <c r="I282" s="71"/>
    </row>
    <row r="283" ht="15.75" customHeight="1">
      <c r="F283" s="71"/>
      <c r="G283" s="50"/>
      <c r="H283" s="19"/>
      <c r="I283" s="71"/>
    </row>
    <row r="284" ht="15.75" customHeight="1">
      <c r="F284" s="71"/>
      <c r="G284" s="50"/>
      <c r="H284" s="19"/>
      <c r="I284" s="71"/>
    </row>
    <row r="285" ht="15.75" customHeight="1">
      <c r="F285" s="71"/>
      <c r="G285" s="50"/>
      <c r="H285" s="19"/>
      <c r="I285" s="71"/>
    </row>
    <row r="286" ht="15.75" customHeight="1">
      <c r="F286" s="71"/>
      <c r="G286" s="50"/>
      <c r="H286" s="19"/>
      <c r="I286" s="71"/>
    </row>
    <row r="287" ht="15.75" customHeight="1">
      <c r="F287" s="71"/>
      <c r="G287" s="50"/>
      <c r="H287" s="19"/>
      <c r="I287" s="71"/>
    </row>
    <row r="288" ht="15.75" customHeight="1">
      <c r="F288" s="71"/>
      <c r="G288" s="50"/>
      <c r="H288" s="19"/>
      <c r="I288" s="71"/>
    </row>
    <row r="289" ht="15.75" customHeight="1">
      <c r="F289" s="71"/>
      <c r="G289" s="50"/>
      <c r="H289" s="19"/>
      <c r="I289" s="71"/>
    </row>
    <row r="290" ht="15.75" customHeight="1">
      <c r="F290" s="71"/>
      <c r="G290" s="50"/>
      <c r="H290" s="19"/>
      <c r="I290" s="71"/>
    </row>
    <row r="291" ht="15.75" customHeight="1">
      <c r="F291" s="71"/>
      <c r="G291" s="50"/>
      <c r="H291" s="19"/>
      <c r="I291" s="71"/>
    </row>
    <row r="292" ht="15.75" customHeight="1">
      <c r="F292" s="71"/>
      <c r="G292" s="50"/>
      <c r="H292" s="19"/>
      <c r="I292" s="71"/>
    </row>
    <row r="293" ht="15.75" customHeight="1">
      <c r="F293" s="71"/>
      <c r="G293" s="50"/>
      <c r="H293" s="19"/>
      <c r="I293" s="71"/>
    </row>
    <row r="294" ht="15.75" customHeight="1">
      <c r="F294" s="71"/>
      <c r="G294" s="50"/>
      <c r="H294" s="19"/>
      <c r="I294" s="71"/>
    </row>
    <row r="295" ht="15.75" customHeight="1">
      <c r="F295" s="71"/>
      <c r="G295" s="50"/>
      <c r="H295" s="19"/>
      <c r="I295" s="71"/>
    </row>
    <row r="296" ht="15.75" customHeight="1">
      <c r="F296" s="71"/>
      <c r="G296" s="50"/>
      <c r="H296" s="19"/>
      <c r="I296" s="71"/>
    </row>
    <row r="297" ht="15.75" customHeight="1">
      <c r="F297" s="71"/>
      <c r="G297" s="50"/>
      <c r="H297" s="19"/>
      <c r="I297" s="71"/>
    </row>
    <row r="298" ht="15.75" customHeight="1">
      <c r="F298" s="71"/>
      <c r="G298" s="50"/>
      <c r="H298" s="19"/>
      <c r="I298" s="71"/>
    </row>
    <row r="299" ht="15.75" customHeight="1">
      <c r="F299" s="71"/>
      <c r="G299" s="50"/>
      <c r="H299" s="19"/>
      <c r="I299" s="71"/>
    </row>
    <row r="300" ht="15.75" customHeight="1">
      <c r="F300" s="71"/>
      <c r="G300" s="50"/>
      <c r="H300" s="19"/>
      <c r="I300" s="71"/>
    </row>
    <row r="301" ht="15.75" customHeight="1">
      <c r="F301" s="71"/>
      <c r="G301" s="50"/>
      <c r="H301" s="19"/>
      <c r="I301" s="71"/>
    </row>
    <row r="302" ht="15.75" customHeight="1">
      <c r="F302" s="71"/>
      <c r="G302" s="50"/>
      <c r="H302" s="19"/>
      <c r="I302" s="71"/>
    </row>
    <row r="303" ht="15.75" customHeight="1">
      <c r="F303" s="71"/>
      <c r="G303" s="50"/>
      <c r="H303" s="19"/>
      <c r="I303" s="71"/>
    </row>
    <row r="304" ht="15.75" customHeight="1">
      <c r="F304" s="71"/>
      <c r="G304" s="50"/>
      <c r="H304" s="19"/>
      <c r="I304" s="71"/>
    </row>
    <row r="305" ht="15.75" customHeight="1">
      <c r="F305" s="71"/>
      <c r="G305" s="50"/>
      <c r="H305" s="19"/>
      <c r="I305" s="71"/>
    </row>
    <row r="306" ht="15.75" customHeight="1">
      <c r="F306" s="71"/>
      <c r="G306" s="50"/>
      <c r="H306" s="19"/>
      <c r="I306" s="71"/>
    </row>
    <row r="307" ht="15.75" customHeight="1">
      <c r="F307" s="71"/>
      <c r="G307" s="50"/>
      <c r="H307" s="19"/>
      <c r="I307" s="71"/>
    </row>
    <row r="308" ht="15.75" customHeight="1">
      <c r="F308" s="71"/>
      <c r="G308" s="50"/>
      <c r="H308" s="19"/>
      <c r="I308" s="71"/>
    </row>
    <row r="309" ht="15.75" customHeight="1">
      <c r="F309" s="71"/>
      <c r="G309" s="50"/>
      <c r="H309" s="19"/>
      <c r="I309" s="71"/>
    </row>
    <row r="310" ht="15.75" customHeight="1">
      <c r="F310" s="71"/>
      <c r="G310" s="50"/>
      <c r="H310" s="19"/>
      <c r="I310" s="71"/>
    </row>
    <row r="311" ht="15.75" customHeight="1">
      <c r="F311" s="71"/>
      <c r="G311" s="50"/>
      <c r="H311" s="19"/>
      <c r="I311" s="71"/>
    </row>
    <row r="312" ht="15.75" customHeight="1">
      <c r="F312" s="71"/>
      <c r="G312" s="50"/>
      <c r="H312" s="19"/>
      <c r="I312" s="71"/>
    </row>
    <row r="313" ht="15.75" customHeight="1">
      <c r="F313" s="71"/>
      <c r="G313" s="50"/>
      <c r="H313" s="19"/>
      <c r="I313" s="71"/>
    </row>
    <row r="314" ht="15.75" customHeight="1">
      <c r="F314" s="71"/>
      <c r="G314" s="50"/>
      <c r="H314" s="19"/>
      <c r="I314" s="71"/>
    </row>
    <row r="315" ht="15.75" customHeight="1">
      <c r="F315" s="71"/>
      <c r="G315" s="50"/>
      <c r="H315" s="19"/>
      <c r="I315" s="71"/>
    </row>
    <row r="316" ht="15.75" customHeight="1">
      <c r="F316" s="71"/>
      <c r="G316" s="50"/>
      <c r="H316" s="19"/>
      <c r="I316" s="71"/>
    </row>
    <row r="317" ht="15.75" customHeight="1">
      <c r="F317" s="71"/>
      <c r="G317" s="50"/>
      <c r="H317" s="19"/>
      <c r="I317" s="71"/>
    </row>
    <row r="318" ht="15.75" customHeight="1">
      <c r="F318" s="71"/>
      <c r="G318" s="50"/>
      <c r="H318" s="19"/>
      <c r="I318" s="71"/>
    </row>
    <row r="319" ht="15.75" customHeight="1">
      <c r="F319" s="71"/>
      <c r="G319" s="50"/>
      <c r="H319" s="19"/>
      <c r="I319" s="71"/>
    </row>
    <row r="320" ht="15.75" customHeight="1">
      <c r="F320" s="71"/>
      <c r="G320" s="50"/>
      <c r="H320" s="19"/>
      <c r="I320" s="71"/>
    </row>
    <row r="321" ht="15.75" customHeight="1">
      <c r="F321" s="71"/>
      <c r="G321" s="50"/>
      <c r="H321" s="19"/>
      <c r="I321" s="71"/>
    </row>
    <row r="322" ht="15.75" customHeight="1">
      <c r="F322" s="71"/>
      <c r="G322" s="50"/>
      <c r="H322" s="19"/>
      <c r="I322" s="71"/>
    </row>
    <row r="323" ht="15.75" customHeight="1">
      <c r="F323" s="71"/>
      <c r="G323" s="50"/>
      <c r="H323" s="19"/>
      <c r="I323" s="71"/>
    </row>
    <row r="324" ht="15.75" customHeight="1">
      <c r="F324" s="71"/>
      <c r="G324" s="50"/>
      <c r="H324" s="19"/>
      <c r="I324" s="71"/>
    </row>
    <row r="325" ht="15.75" customHeight="1">
      <c r="F325" s="71"/>
      <c r="G325" s="50"/>
      <c r="H325" s="19"/>
      <c r="I325" s="71"/>
    </row>
    <row r="326" ht="15.75" customHeight="1">
      <c r="F326" s="71"/>
      <c r="G326" s="50"/>
      <c r="H326" s="19"/>
      <c r="I326" s="71"/>
    </row>
    <row r="327" ht="15.75" customHeight="1">
      <c r="F327" s="71"/>
      <c r="G327" s="50"/>
      <c r="H327" s="19"/>
      <c r="I327" s="71"/>
    </row>
    <row r="328" ht="15.75" customHeight="1">
      <c r="F328" s="71"/>
      <c r="G328" s="50"/>
      <c r="H328" s="19"/>
      <c r="I328" s="71"/>
    </row>
    <row r="329" ht="15.75" customHeight="1">
      <c r="F329" s="71"/>
      <c r="G329" s="50"/>
      <c r="H329" s="19"/>
      <c r="I329" s="71"/>
    </row>
    <row r="330" ht="15.75" customHeight="1">
      <c r="F330" s="71"/>
      <c r="G330" s="50"/>
      <c r="H330" s="19"/>
      <c r="I330" s="71"/>
    </row>
    <row r="331" ht="15.75" customHeight="1">
      <c r="F331" s="71"/>
      <c r="G331" s="50"/>
      <c r="H331" s="19"/>
      <c r="I331" s="71"/>
    </row>
    <row r="332" ht="15.75" customHeight="1">
      <c r="F332" s="71"/>
      <c r="G332" s="50"/>
      <c r="H332" s="19"/>
      <c r="I332" s="71"/>
    </row>
    <row r="333" ht="15.75" customHeight="1">
      <c r="F333" s="71"/>
      <c r="G333" s="50"/>
      <c r="H333" s="19"/>
      <c r="I333" s="71"/>
    </row>
    <row r="334" ht="15.75" customHeight="1">
      <c r="F334" s="71"/>
      <c r="G334" s="50"/>
      <c r="H334" s="19"/>
      <c r="I334" s="71"/>
    </row>
    <row r="335" ht="15.75" customHeight="1">
      <c r="F335" s="71"/>
      <c r="G335" s="50"/>
      <c r="H335" s="19"/>
      <c r="I335" s="71"/>
    </row>
    <row r="336" ht="15.75" customHeight="1">
      <c r="F336" s="71"/>
      <c r="G336" s="50"/>
      <c r="H336" s="19"/>
      <c r="I336" s="71"/>
    </row>
    <row r="337" ht="15.75" customHeight="1">
      <c r="F337" s="71"/>
      <c r="G337" s="50"/>
      <c r="H337" s="19"/>
      <c r="I337" s="71"/>
    </row>
    <row r="338" ht="15.75" customHeight="1">
      <c r="F338" s="71"/>
      <c r="G338" s="50"/>
      <c r="H338" s="19"/>
      <c r="I338" s="71"/>
    </row>
    <row r="339" ht="15.75" customHeight="1">
      <c r="F339" s="71"/>
      <c r="G339" s="50"/>
      <c r="H339" s="19"/>
      <c r="I339" s="71"/>
    </row>
    <row r="340" ht="15.75" customHeight="1">
      <c r="F340" s="71"/>
      <c r="G340" s="50"/>
      <c r="H340" s="19"/>
      <c r="I340" s="71"/>
    </row>
    <row r="341" ht="15.75" customHeight="1">
      <c r="F341" s="71"/>
      <c r="G341" s="50"/>
      <c r="H341" s="19"/>
      <c r="I341" s="71"/>
    </row>
    <row r="342" ht="15.75" customHeight="1">
      <c r="F342" s="71"/>
      <c r="G342" s="50"/>
      <c r="H342" s="19"/>
      <c r="I342" s="71"/>
    </row>
    <row r="343" ht="15.75" customHeight="1">
      <c r="F343" s="71"/>
      <c r="G343" s="50"/>
      <c r="H343" s="19"/>
      <c r="I343" s="71"/>
    </row>
    <row r="344" ht="15.75" customHeight="1">
      <c r="F344" s="71"/>
      <c r="G344" s="50"/>
      <c r="H344" s="19"/>
      <c r="I344" s="71"/>
    </row>
    <row r="345" ht="15.75" customHeight="1">
      <c r="F345" s="71"/>
      <c r="G345" s="50"/>
      <c r="H345" s="19"/>
      <c r="I345" s="71"/>
    </row>
    <row r="346" ht="15.75" customHeight="1">
      <c r="F346" s="71"/>
      <c r="G346" s="50"/>
      <c r="H346" s="19"/>
      <c r="I346" s="71"/>
    </row>
    <row r="347" ht="15.75" customHeight="1">
      <c r="F347" s="71"/>
      <c r="G347" s="50"/>
      <c r="H347" s="19"/>
      <c r="I347" s="71"/>
    </row>
    <row r="348" ht="15.75" customHeight="1">
      <c r="F348" s="71"/>
      <c r="G348" s="50"/>
      <c r="H348" s="19"/>
      <c r="I348" s="71"/>
    </row>
    <row r="349" ht="15.75" customHeight="1">
      <c r="F349" s="71"/>
      <c r="G349" s="50"/>
      <c r="H349" s="19"/>
      <c r="I349" s="71"/>
    </row>
    <row r="350" ht="15.75" customHeight="1">
      <c r="F350" s="71"/>
      <c r="G350" s="50"/>
      <c r="H350" s="19"/>
      <c r="I350" s="71"/>
    </row>
    <row r="351" ht="15.75" customHeight="1">
      <c r="F351" s="71"/>
      <c r="G351" s="50"/>
      <c r="H351" s="19"/>
      <c r="I351" s="71"/>
    </row>
    <row r="352" ht="15.75" customHeight="1">
      <c r="F352" s="71"/>
      <c r="G352" s="50"/>
      <c r="H352" s="19"/>
      <c r="I352" s="71"/>
    </row>
    <row r="353" ht="15.75" customHeight="1">
      <c r="F353" s="71"/>
      <c r="G353" s="50"/>
      <c r="H353" s="19"/>
      <c r="I353" s="71"/>
    </row>
    <row r="354" ht="15.75" customHeight="1">
      <c r="F354" s="71"/>
      <c r="G354" s="50"/>
      <c r="H354" s="19"/>
      <c r="I354" s="71"/>
    </row>
    <row r="355" ht="15.75" customHeight="1">
      <c r="F355" s="71"/>
      <c r="G355" s="50"/>
      <c r="H355" s="19"/>
      <c r="I355" s="71"/>
    </row>
    <row r="356" ht="15.75" customHeight="1">
      <c r="F356" s="71"/>
      <c r="G356" s="50"/>
      <c r="H356" s="19"/>
      <c r="I356" s="71"/>
    </row>
    <row r="357" ht="15.75" customHeight="1">
      <c r="F357" s="71"/>
      <c r="G357" s="50"/>
      <c r="H357" s="19"/>
      <c r="I357" s="71"/>
    </row>
    <row r="358" ht="15.75" customHeight="1">
      <c r="F358" s="71"/>
      <c r="G358" s="50"/>
      <c r="H358" s="19"/>
      <c r="I358" s="71"/>
    </row>
    <row r="359" ht="15.75" customHeight="1">
      <c r="F359" s="71"/>
      <c r="G359" s="50"/>
      <c r="H359" s="19"/>
      <c r="I359" s="71"/>
    </row>
    <row r="360" ht="15.75" customHeight="1">
      <c r="F360" s="71"/>
      <c r="G360" s="50"/>
      <c r="H360" s="19"/>
      <c r="I360" s="71"/>
    </row>
    <row r="361" ht="15.75" customHeight="1">
      <c r="F361" s="71"/>
      <c r="G361" s="50"/>
      <c r="H361" s="19"/>
      <c r="I361" s="71"/>
    </row>
    <row r="362" ht="15.75" customHeight="1">
      <c r="F362" s="71"/>
      <c r="G362" s="50"/>
      <c r="H362" s="19"/>
      <c r="I362" s="71"/>
    </row>
    <row r="363" ht="15.75" customHeight="1">
      <c r="F363" s="71"/>
      <c r="G363" s="50"/>
      <c r="H363" s="19"/>
      <c r="I363" s="71"/>
    </row>
    <row r="364" ht="15.75" customHeight="1">
      <c r="F364" s="71"/>
      <c r="G364" s="50"/>
      <c r="H364" s="19"/>
      <c r="I364" s="71"/>
    </row>
    <row r="365" ht="15.75" customHeight="1">
      <c r="F365" s="71"/>
      <c r="G365" s="50"/>
      <c r="H365" s="19"/>
      <c r="I365" s="71"/>
    </row>
    <row r="366" ht="15.75" customHeight="1">
      <c r="F366" s="71"/>
      <c r="G366" s="50"/>
      <c r="H366" s="19"/>
      <c r="I366" s="71"/>
    </row>
    <row r="367" ht="15.75" customHeight="1">
      <c r="F367" s="71"/>
      <c r="G367" s="50"/>
      <c r="H367" s="19"/>
      <c r="I367" s="71"/>
    </row>
    <row r="368" ht="15.75" customHeight="1">
      <c r="F368" s="71"/>
      <c r="G368" s="50"/>
      <c r="H368" s="19"/>
      <c r="I368" s="71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59">
    <sortState ref="A1:I59">
      <sortCondition ref="G1:G59"/>
      <sortCondition ref="C1:C59"/>
      <sortCondition ref="D1:D59"/>
    </sortState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13"/>
    <col customWidth="1" min="2" max="2" width="33.5"/>
    <col customWidth="1" min="3" max="3" width="18.88"/>
    <col customWidth="1" min="4" max="11" width="14.63"/>
  </cols>
  <sheetData>
    <row r="1" ht="15.0" customHeight="1">
      <c r="A1" s="196" t="s">
        <v>267</v>
      </c>
      <c r="B1" s="196" t="s">
        <v>1</v>
      </c>
      <c r="C1" s="196" t="s">
        <v>61</v>
      </c>
      <c r="D1" s="196" t="s">
        <v>248</v>
      </c>
      <c r="E1" s="196" t="s">
        <v>63</v>
      </c>
      <c r="F1" s="197" t="s">
        <v>249</v>
      </c>
      <c r="G1" s="198" t="s">
        <v>250</v>
      </c>
      <c r="H1" s="199" t="s">
        <v>251</v>
      </c>
      <c r="I1" s="200" t="s">
        <v>252</v>
      </c>
    </row>
    <row r="2" ht="15.0" customHeight="1">
      <c r="A2" s="65" t="s">
        <v>92</v>
      </c>
      <c r="B2" s="65" t="s">
        <v>156</v>
      </c>
      <c r="C2" s="65" t="s">
        <v>72</v>
      </c>
      <c r="D2" s="65" t="s">
        <v>260</v>
      </c>
      <c r="E2" s="68">
        <v>4.0</v>
      </c>
      <c r="F2" s="218">
        <v>178.05</v>
      </c>
      <c r="G2" s="219">
        <v>45546.0</v>
      </c>
      <c r="H2" s="67" t="s">
        <v>278</v>
      </c>
      <c r="I2" s="218">
        <f t="shared" ref="I2:I51" si="1">F2*E2*-1</f>
        <v>-712.2</v>
      </c>
    </row>
    <row r="3" ht="15.0" customHeight="1">
      <c r="A3" s="65" t="s">
        <v>159</v>
      </c>
      <c r="B3" s="65" t="s">
        <v>160</v>
      </c>
      <c r="C3" s="65" t="s">
        <v>72</v>
      </c>
      <c r="D3" s="65" t="s">
        <v>260</v>
      </c>
      <c r="E3" s="68">
        <v>7.0</v>
      </c>
      <c r="F3" s="218">
        <v>96.88</v>
      </c>
      <c r="G3" s="219">
        <v>45546.0</v>
      </c>
      <c r="H3" s="67" t="s">
        <v>278</v>
      </c>
      <c r="I3" s="218">
        <f t="shared" si="1"/>
        <v>-678.16</v>
      </c>
    </row>
    <row r="4" ht="15.0" customHeight="1">
      <c r="A4" s="65" t="s">
        <v>165</v>
      </c>
      <c r="B4" s="65" t="s">
        <v>166</v>
      </c>
      <c r="C4" s="65" t="s">
        <v>74</v>
      </c>
      <c r="D4" s="65" t="s">
        <v>261</v>
      </c>
      <c r="E4" s="68">
        <v>-232.0</v>
      </c>
      <c r="F4" s="218">
        <v>98.91</v>
      </c>
      <c r="G4" s="219">
        <v>45546.0</v>
      </c>
      <c r="H4" s="67">
        <v>1.2901134521880064</v>
      </c>
      <c r="I4" s="218">
        <f t="shared" si="1"/>
        <v>22947.12</v>
      </c>
    </row>
    <row r="5" ht="15.0" customHeight="1">
      <c r="A5" s="65" t="s">
        <v>97</v>
      </c>
      <c r="B5" s="65" t="s">
        <v>162</v>
      </c>
      <c r="C5" s="65" t="s">
        <v>74</v>
      </c>
      <c r="D5" s="65" t="s">
        <v>261</v>
      </c>
      <c r="E5" s="65">
        <v>-46.0</v>
      </c>
      <c r="F5" s="218">
        <v>124.76</v>
      </c>
      <c r="G5" s="219">
        <v>45546.0</v>
      </c>
      <c r="H5" s="67">
        <v>0.37658611938651676</v>
      </c>
      <c r="I5" s="218">
        <f t="shared" si="1"/>
        <v>5738.96</v>
      </c>
    </row>
    <row r="6" ht="15.0" customHeight="1">
      <c r="A6" s="65" t="s">
        <v>163</v>
      </c>
      <c r="B6" s="65" t="s">
        <v>164</v>
      </c>
      <c r="C6" s="65" t="s">
        <v>74</v>
      </c>
      <c r="D6" s="65" t="s">
        <v>261</v>
      </c>
      <c r="E6" s="68">
        <v>-50.0</v>
      </c>
      <c r="F6" s="218">
        <v>114.08</v>
      </c>
      <c r="G6" s="219">
        <v>45546.0</v>
      </c>
      <c r="H6" s="67">
        <v>0.34085566525622935</v>
      </c>
      <c r="I6" s="218">
        <f t="shared" si="1"/>
        <v>5704</v>
      </c>
    </row>
    <row r="7" ht="15.0" customHeight="1">
      <c r="A7" s="65" t="s">
        <v>104</v>
      </c>
      <c r="B7" s="65" t="s">
        <v>336</v>
      </c>
      <c r="C7" s="65" t="s">
        <v>79</v>
      </c>
      <c r="D7" s="65" t="s">
        <v>261</v>
      </c>
      <c r="E7" s="68">
        <v>-85.0</v>
      </c>
      <c r="F7" s="218">
        <v>108.39</v>
      </c>
      <c r="G7" s="219">
        <v>45546.0</v>
      </c>
      <c r="H7" s="67">
        <v>0.4511982862498327</v>
      </c>
      <c r="I7" s="218">
        <f t="shared" si="1"/>
        <v>9213.15</v>
      </c>
    </row>
    <row r="8" ht="15.0" customHeight="1">
      <c r="A8" s="65" t="s">
        <v>181</v>
      </c>
      <c r="B8" s="65" t="s">
        <v>182</v>
      </c>
      <c r="C8" s="65" t="s">
        <v>79</v>
      </c>
      <c r="D8" s="65" t="s">
        <v>261</v>
      </c>
      <c r="E8" s="68">
        <v>-51.0</v>
      </c>
      <c r="F8" s="218">
        <v>178.23</v>
      </c>
      <c r="G8" s="219">
        <v>45546.0</v>
      </c>
      <c r="H8" s="67">
        <v>0.2111307420494699</v>
      </c>
      <c r="I8" s="218">
        <f t="shared" si="1"/>
        <v>9089.73</v>
      </c>
    </row>
    <row r="9" ht="15.0" customHeight="1">
      <c r="A9" s="65" t="s">
        <v>203</v>
      </c>
      <c r="B9" s="220" t="s">
        <v>204</v>
      </c>
      <c r="C9" s="65" t="s">
        <v>83</v>
      </c>
      <c r="D9" s="65" t="s">
        <v>260</v>
      </c>
      <c r="E9" s="68">
        <v>50.0</v>
      </c>
      <c r="F9" s="218">
        <v>162.5</v>
      </c>
      <c r="G9" s="219">
        <v>45546.0</v>
      </c>
      <c r="H9" s="67" t="s">
        <v>278</v>
      </c>
      <c r="I9" s="218">
        <f t="shared" si="1"/>
        <v>-8125</v>
      </c>
    </row>
    <row r="10" ht="15.0" customHeight="1">
      <c r="A10" s="65" t="s">
        <v>122</v>
      </c>
      <c r="B10" s="65" t="s">
        <v>310</v>
      </c>
      <c r="C10" s="65" t="s">
        <v>87</v>
      </c>
      <c r="D10" s="65" t="s">
        <v>260</v>
      </c>
      <c r="E10" s="68">
        <v>41.0</v>
      </c>
      <c r="F10" s="218">
        <v>563.51</v>
      </c>
      <c r="G10" s="219">
        <v>45546.0</v>
      </c>
      <c r="H10" s="67" t="s">
        <v>278</v>
      </c>
      <c r="I10" s="218">
        <f t="shared" si="1"/>
        <v>-23103.91</v>
      </c>
    </row>
    <row r="11" ht="15.0" customHeight="1">
      <c r="A11" s="65" t="s">
        <v>130</v>
      </c>
      <c r="B11" s="65" t="s">
        <v>213</v>
      </c>
      <c r="C11" s="65" t="s">
        <v>87</v>
      </c>
      <c r="D11" s="65" t="s">
        <v>260</v>
      </c>
      <c r="E11" s="68">
        <v>155.0</v>
      </c>
      <c r="F11" s="218">
        <v>148.23</v>
      </c>
      <c r="G11" s="219">
        <v>45546.0</v>
      </c>
      <c r="H11" s="67" t="s">
        <v>278</v>
      </c>
      <c r="I11" s="218">
        <f t="shared" si="1"/>
        <v>-22975.65</v>
      </c>
    </row>
    <row r="12" ht="15.0" customHeight="1">
      <c r="A12" s="65" t="s">
        <v>86</v>
      </c>
      <c r="B12" s="65" t="s">
        <v>221</v>
      </c>
      <c r="C12" s="65" t="s">
        <v>87</v>
      </c>
      <c r="D12" s="65" t="s">
        <v>260</v>
      </c>
      <c r="E12" s="68">
        <v>132.0</v>
      </c>
      <c r="F12" s="218">
        <v>208.79</v>
      </c>
      <c r="G12" s="219">
        <v>45546.0</v>
      </c>
      <c r="H12" s="67" t="s">
        <v>278</v>
      </c>
      <c r="I12" s="218">
        <f t="shared" si="1"/>
        <v>-27560.28</v>
      </c>
    </row>
    <row r="13" ht="15.0" customHeight="1">
      <c r="A13" s="65" t="s">
        <v>132</v>
      </c>
      <c r="B13" s="65" t="s">
        <v>222</v>
      </c>
      <c r="C13" s="65" t="s">
        <v>87</v>
      </c>
      <c r="D13" s="65" t="s">
        <v>260</v>
      </c>
      <c r="E13" s="65">
        <v>52.0</v>
      </c>
      <c r="F13" s="218">
        <v>499.26</v>
      </c>
      <c r="G13" s="219">
        <v>45546.0</v>
      </c>
      <c r="H13" s="67" t="s">
        <v>278</v>
      </c>
      <c r="I13" s="218">
        <f t="shared" si="1"/>
        <v>-25961.52</v>
      </c>
    </row>
    <row r="14" ht="15.0" customHeight="1">
      <c r="A14" s="65" t="s">
        <v>223</v>
      </c>
      <c r="B14" s="65" t="s">
        <v>224</v>
      </c>
      <c r="C14" s="65" t="s">
        <v>337</v>
      </c>
      <c r="D14" s="65" t="s">
        <v>260</v>
      </c>
      <c r="E14" s="65">
        <v>273.0</v>
      </c>
      <c r="F14" s="218">
        <v>95.24</v>
      </c>
      <c r="G14" s="219">
        <v>45546.0</v>
      </c>
      <c r="H14" s="67" t="s">
        <v>278</v>
      </c>
      <c r="I14" s="218">
        <f t="shared" si="1"/>
        <v>-26000.52</v>
      </c>
    </row>
    <row r="15" ht="15.0" customHeight="1">
      <c r="A15" s="65" t="s">
        <v>228</v>
      </c>
      <c r="B15" s="220" t="s">
        <v>229</v>
      </c>
      <c r="C15" s="65" t="s">
        <v>91</v>
      </c>
      <c r="D15" s="65" t="s">
        <v>261</v>
      </c>
      <c r="E15" s="68">
        <v>-183.0</v>
      </c>
      <c r="F15" s="218">
        <v>75.81</v>
      </c>
      <c r="G15" s="219">
        <v>45546.0</v>
      </c>
      <c r="H15" s="67">
        <v>1.109348914858097</v>
      </c>
      <c r="I15" s="218">
        <f t="shared" si="1"/>
        <v>13873.23</v>
      </c>
    </row>
    <row r="16" ht="15.0" customHeight="1">
      <c r="A16" s="65" t="s">
        <v>134</v>
      </c>
      <c r="B16" s="220" t="s">
        <v>227</v>
      </c>
      <c r="C16" s="65" t="s">
        <v>91</v>
      </c>
      <c r="D16" s="65" t="s">
        <v>261</v>
      </c>
      <c r="E16" s="68">
        <v>-77.0</v>
      </c>
      <c r="F16" s="218">
        <v>179.99</v>
      </c>
      <c r="G16" s="219">
        <v>45546.0</v>
      </c>
      <c r="H16" s="67">
        <v>1.0294283459240052</v>
      </c>
      <c r="I16" s="218">
        <f t="shared" si="1"/>
        <v>13859.23</v>
      </c>
    </row>
    <row r="17" ht="15.0" customHeight="1">
      <c r="A17" s="220" t="s">
        <v>266</v>
      </c>
      <c r="B17" s="65" t="s">
        <v>338</v>
      </c>
      <c r="C17" s="65" t="s">
        <v>79</v>
      </c>
      <c r="D17" s="65" t="s">
        <v>261</v>
      </c>
      <c r="E17" s="68">
        <v>-71.0</v>
      </c>
      <c r="F17" s="218">
        <v>128.5</v>
      </c>
      <c r="G17" s="219">
        <v>45546.0</v>
      </c>
      <c r="H17" s="67">
        <v>0.19568251605099096</v>
      </c>
      <c r="I17" s="218">
        <f t="shared" si="1"/>
        <v>9123.5</v>
      </c>
    </row>
    <row r="18" ht="15.0" customHeight="1">
      <c r="A18" s="18" t="s">
        <v>274</v>
      </c>
      <c r="B18" s="23" t="s">
        <v>309</v>
      </c>
      <c r="C18" s="23" t="s">
        <v>87</v>
      </c>
      <c r="D18" s="23" t="s">
        <v>261</v>
      </c>
      <c r="E18" s="39">
        <v>-1.0</v>
      </c>
      <c r="F18" s="71">
        <v>167.69</v>
      </c>
      <c r="G18" s="50">
        <v>45558.0</v>
      </c>
      <c r="H18" s="19">
        <v>-0.2680968072801868</v>
      </c>
      <c r="I18" s="71">
        <f t="shared" si="1"/>
        <v>167.69</v>
      </c>
      <c r="K18" s="19"/>
    </row>
    <row r="19" ht="15.0" customHeight="1">
      <c r="A19" s="18" t="s">
        <v>86</v>
      </c>
      <c r="B19" s="23" t="s">
        <v>221</v>
      </c>
      <c r="C19" s="23" t="s">
        <v>87</v>
      </c>
      <c r="D19" s="23" t="s">
        <v>253</v>
      </c>
      <c r="E19" s="39">
        <v>-132.0</v>
      </c>
      <c r="F19" s="71">
        <v>221.7</v>
      </c>
      <c r="G19" s="50">
        <v>45558.0</v>
      </c>
      <c r="H19" s="19">
        <v>0.061832463240576674</v>
      </c>
      <c r="I19" s="71">
        <f t="shared" si="1"/>
        <v>29264.4</v>
      </c>
      <c r="K19" s="19"/>
    </row>
    <row r="20" ht="15.0" customHeight="1">
      <c r="A20" s="18" t="s">
        <v>281</v>
      </c>
      <c r="B20" s="23" t="s">
        <v>282</v>
      </c>
      <c r="C20" s="23" t="s">
        <v>87</v>
      </c>
      <c r="D20" s="23" t="s">
        <v>264</v>
      </c>
      <c r="E20" s="23">
        <v>234.0</v>
      </c>
      <c r="F20" s="71">
        <v>126.44</v>
      </c>
      <c r="G20" s="50">
        <v>45558.0</v>
      </c>
      <c r="H20" s="19" t="s">
        <v>278</v>
      </c>
      <c r="I20" s="71">
        <f t="shared" si="1"/>
        <v>-29586.96</v>
      </c>
      <c r="K20" s="19"/>
    </row>
    <row r="21" ht="15.0" customHeight="1">
      <c r="A21" s="23" t="s">
        <v>130</v>
      </c>
      <c r="B21" s="23" t="s">
        <v>213</v>
      </c>
      <c r="C21" s="23" t="s">
        <v>87</v>
      </c>
      <c r="D21" s="23" t="s">
        <v>261</v>
      </c>
      <c r="E21" s="23">
        <v>-82.0</v>
      </c>
      <c r="F21" s="23">
        <v>162.61</v>
      </c>
      <c r="G21" s="51">
        <v>45561.0</v>
      </c>
      <c r="H21" s="19">
        <v>7.5449290593799265</v>
      </c>
      <c r="I21" s="71">
        <f t="shared" si="1"/>
        <v>13334.02</v>
      </c>
      <c r="K21" s="19"/>
    </row>
    <row r="22" ht="15.0" customHeight="1">
      <c r="A22" s="23" t="s">
        <v>122</v>
      </c>
      <c r="B22" s="23" t="s">
        <v>310</v>
      </c>
      <c r="C22" s="23" t="s">
        <v>87</v>
      </c>
      <c r="D22" s="23" t="s">
        <v>261</v>
      </c>
      <c r="E22" s="23">
        <v>-22.0</v>
      </c>
      <c r="F22" s="23">
        <v>515.62</v>
      </c>
      <c r="G22" s="51">
        <v>45561.0</v>
      </c>
      <c r="H22" s="19">
        <v>0.6625394982910944</v>
      </c>
      <c r="I22" s="71">
        <f t="shared" si="1"/>
        <v>11343.64</v>
      </c>
      <c r="K22" s="19"/>
    </row>
    <row r="23" ht="15.0" customHeight="1">
      <c r="A23" s="23" t="s">
        <v>123</v>
      </c>
      <c r="B23" s="23" t="s">
        <v>311</v>
      </c>
      <c r="C23" s="23" t="s">
        <v>87</v>
      </c>
      <c r="D23" s="23" t="s">
        <v>261</v>
      </c>
      <c r="E23" s="23">
        <v>-26.0</v>
      </c>
      <c r="F23" s="23">
        <v>430.21</v>
      </c>
      <c r="G23" s="51">
        <v>45561.0</v>
      </c>
      <c r="H23" s="19">
        <v>1.5908461306835289</v>
      </c>
      <c r="I23" s="71">
        <f t="shared" si="1"/>
        <v>11185.46</v>
      </c>
      <c r="K23" s="19"/>
    </row>
    <row r="24" ht="15.0" customHeight="1">
      <c r="A24" s="23" t="s">
        <v>124</v>
      </c>
      <c r="B24" s="23" t="s">
        <v>215</v>
      </c>
      <c r="C24" s="23" t="s">
        <v>87</v>
      </c>
      <c r="D24" s="23" t="s">
        <v>261</v>
      </c>
      <c r="E24" s="23">
        <v>-48.0</v>
      </c>
      <c r="F24" s="23">
        <v>207.34</v>
      </c>
      <c r="G24" s="51">
        <v>45561.0</v>
      </c>
      <c r="H24" s="19">
        <v>0.37712539851222093</v>
      </c>
      <c r="I24" s="71">
        <f t="shared" si="1"/>
        <v>9952.32</v>
      </c>
      <c r="K24" s="19"/>
    </row>
    <row r="25" ht="15.0" customHeight="1">
      <c r="A25" s="23" t="s">
        <v>126</v>
      </c>
      <c r="B25" s="23" t="s">
        <v>216</v>
      </c>
      <c r="C25" s="23" t="s">
        <v>87</v>
      </c>
      <c r="D25" s="23" t="s">
        <v>261</v>
      </c>
      <c r="E25" s="23">
        <v>-25.0</v>
      </c>
      <c r="F25" s="23">
        <v>513.35</v>
      </c>
      <c r="G25" s="51">
        <v>45561.0</v>
      </c>
      <c r="H25" s="19">
        <v>0.3322001349457624</v>
      </c>
      <c r="I25" s="71">
        <f t="shared" si="1"/>
        <v>12833.75</v>
      </c>
      <c r="K25" s="19"/>
    </row>
    <row r="26" ht="15.0" customHeight="1">
      <c r="A26" s="23" t="s">
        <v>49</v>
      </c>
      <c r="B26" s="23" t="s">
        <v>339</v>
      </c>
      <c r="C26" s="23" t="s">
        <v>17</v>
      </c>
      <c r="D26" s="23" t="s">
        <v>264</v>
      </c>
      <c r="E26" s="23">
        <v>47.0</v>
      </c>
      <c r="F26" s="23">
        <v>1038.1</v>
      </c>
      <c r="G26" s="51">
        <v>45561.0</v>
      </c>
      <c r="H26" s="19" t="s">
        <v>278</v>
      </c>
      <c r="I26" s="71">
        <f t="shared" si="1"/>
        <v>-48790.7</v>
      </c>
      <c r="K26" s="19"/>
    </row>
    <row r="27" ht="15.0" customHeight="1">
      <c r="A27" s="65" t="s">
        <v>340</v>
      </c>
      <c r="B27" s="65" t="s">
        <v>341</v>
      </c>
      <c r="C27" s="65" t="s">
        <v>81</v>
      </c>
      <c r="D27" s="65" t="s">
        <v>253</v>
      </c>
      <c r="E27" s="65">
        <v>-2316.0</v>
      </c>
      <c r="F27" s="65">
        <v>18.92</v>
      </c>
      <c r="G27" s="221">
        <v>45562.0</v>
      </c>
      <c r="H27" s="67">
        <v>0.19331441185745835</v>
      </c>
      <c r="I27" s="218">
        <f t="shared" si="1"/>
        <v>43818.72</v>
      </c>
      <c r="K27" s="19"/>
    </row>
    <row r="28" ht="15.0" customHeight="1">
      <c r="A28" s="65" t="s">
        <v>109</v>
      </c>
      <c r="B28" s="65" t="s">
        <v>192</v>
      </c>
      <c r="C28" s="65" t="s">
        <v>81</v>
      </c>
      <c r="D28" s="65" t="s">
        <v>260</v>
      </c>
      <c r="E28" s="65">
        <v>18.0</v>
      </c>
      <c r="F28" s="65">
        <v>613.27</v>
      </c>
      <c r="G28" s="221">
        <v>45565.0</v>
      </c>
      <c r="H28" s="67" t="s">
        <v>278</v>
      </c>
      <c r="I28" s="218">
        <f t="shared" si="1"/>
        <v>-11038.86</v>
      </c>
      <c r="K28" s="19"/>
    </row>
    <row r="29" ht="15.0" customHeight="1">
      <c r="A29" s="65" t="s">
        <v>110</v>
      </c>
      <c r="B29" s="65" t="s">
        <v>193</v>
      </c>
      <c r="C29" s="65" t="s">
        <v>81</v>
      </c>
      <c r="D29" s="65" t="s">
        <v>260</v>
      </c>
      <c r="E29" s="65">
        <v>19.0</v>
      </c>
      <c r="F29" s="65">
        <v>582.68</v>
      </c>
      <c r="G29" s="221">
        <v>45565.0</v>
      </c>
      <c r="H29" s="67" t="s">
        <v>278</v>
      </c>
      <c r="I29" s="218">
        <f t="shared" si="1"/>
        <v>-11070.92</v>
      </c>
      <c r="K29" s="19"/>
    </row>
    <row r="30" ht="15.0" customHeight="1">
      <c r="A30" s="65" t="s">
        <v>112</v>
      </c>
      <c r="B30" s="65" t="s">
        <v>195</v>
      </c>
      <c r="C30" s="65" t="s">
        <v>81</v>
      </c>
      <c r="D30" s="65" t="s">
        <v>260</v>
      </c>
      <c r="E30" s="65">
        <v>52.0</v>
      </c>
      <c r="F30" s="65">
        <v>210.08</v>
      </c>
      <c r="G30" s="221">
        <v>45565.0</v>
      </c>
      <c r="H30" s="67" t="s">
        <v>278</v>
      </c>
      <c r="I30" s="218">
        <f t="shared" si="1"/>
        <v>-10924.16</v>
      </c>
      <c r="K30" s="19"/>
    </row>
    <row r="31" ht="15.0" customHeight="1">
      <c r="A31" s="65" t="s">
        <v>196</v>
      </c>
      <c r="B31" s="65" t="s">
        <v>197</v>
      </c>
      <c r="C31" s="65" t="s">
        <v>81</v>
      </c>
      <c r="D31" s="65" t="s">
        <v>260</v>
      </c>
      <c r="E31" s="65">
        <v>390.0</v>
      </c>
      <c r="F31" s="65">
        <v>28.09</v>
      </c>
      <c r="G31" s="221">
        <v>45565.0</v>
      </c>
      <c r="H31" s="67" t="s">
        <v>278</v>
      </c>
      <c r="I31" s="218">
        <f t="shared" si="1"/>
        <v>-10955.1</v>
      </c>
      <c r="K31" s="19"/>
    </row>
    <row r="32" ht="15.0" customHeight="1">
      <c r="A32" s="23" t="s">
        <v>104</v>
      </c>
      <c r="B32" s="23" t="s">
        <v>336</v>
      </c>
      <c r="C32" s="23" t="s">
        <v>79</v>
      </c>
      <c r="D32" s="23" t="s">
        <v>253</v>
      </c>
      <c r="E32" s="23">
        <v>-271.0</v>
      </c>
      <c r="F32" s="23">
        <v>112.28</v>
      </c>
      <c r="G32" s="50">
        <v>45576.0</v>
      </c>
      <c r="H32" s="19">
        <v>0.5032802249297095</v>
      </c>
      <c r="I32" s="71">
        <f t="shared" si="1"/>
        <v>30427.88</v>
      </c>
      <c r="K32" s="19"/>
    </row>
    <row r="33" ht="15.0" customHeight="1">
      <c r="A33" s="23" t="s">
        <v>115</v>
      </c>
      <c r="B33" s="18" t="s">
        <v>331</v>
      </c>
      <c r="C33" s="23" t="s">
        <v>83</v>
      </c>
      <c r="D33" s="23" t="s">
        <v>261</v>
      </c>
      <c r="E33" s="23">
        <v>-45.0</v>
      </c>
      <c r="F33" s="71">
        <v>813.62</v>
      </c>
      <c r="G33" s="50">
        <v>45576.0</v>
      </c>
      <c r="H33" s="19">
        <v>1.4869177161022127</v>
      </c>
      <c r="I33" s="71">
        <f t="shared" si="1"/>
        <v>36612.9</v>
      </c>
      <c r="K33" s="19"/>
    </row>
    <row r="34" ht="15.0" customHeight="1">
      <c r="A34" s="23" t="s">
        <v>165</v>
      </c>
      <c r="B34" s="23" t="s">
        <v>166</v>
      </c>
      <c r="C34" s="23" t="s">
        <v>74</v>
      </c>
      <c r="D34" s="23" t="s">
        <v>261</v>
      </c>
      <c r="E34" s="23">
        <v>-196.0</v>
      </c>
      <c r="F34" s="71">
        <v>115.68</v>
      </c>
      <c r="G34" s="50">
        <v>45576.0</v>
      </c>
      <c r="H34" s="19">
        <v>1.678397777263256</v>
      </c>
      <c r="I34" s="71">
        <f t="shared" si="1"/>
        <v>22673.28</v>
      </c>
      <c r="K34" s="19"/>
    </row>
    <row r="35" ht="15.0" customHeight="1">
      <c r="A35" s="23" t="s">
        <v>163</v>
      </c>
      <c r="B35" s="23" t="s">
        <v>164</v>
      </c>
      <c r="C35" s="23" t="s">
        <v>74</v>
      </c>
      <c r="D35" s="23" t="s">
        <v>260</v>
      </c>
      <c r="E35" s="23">
        <v>128.0</v>
      </c>
      <c r="F35" s="71">
        <v>115.69</v>
      </c>
      <c r="G35" s="50">
        <v>45580.0</v>
      </c>
      <c r="H35" s="19" t="s">
        <v>278</v>
      </c>
      <c r="I35" s="71">
        <f t="shared" si="1"/>
        <v>-14808.32</v>
      </c>
      <c r="K35" s="19"/>
    </row>
    <row r="36" ht="15.0" customHeight="1">
      <c r="A36" s="23" t="s">
        <v>97</v>
      </c>
      <c r="B36" s="23" t="s">
        <v>162</v>
      </c>
      <c r="C36" s="23" t="s">
        <v>74</v>
      </c>
      <c r="D36" s="23" t="s">
        <v>260</v>
      </c>
      <c r="E36" s="23">
        <v>113.0</v>
      </c>
      <c r="F36" s="71">
        <v>120.44</v>
      </c>
      <c r="G36" s="50">
        <v>45580.0</v>
      </c>
      <c r="H36" s="19" t="s">
        <v>278</v>
      </c>
      <c r="I36" s="71">
        <f t="shared" si="1"/>
        <v>-13609.72</v>
      </c>
      <c r="K36" s="19"/>
    </row>
    <row r="37" ht="15.0" customHeight="1">
      <c r="A37" s="23" t="s">
        <v>114</v>
      </c>
      <c r="B37" s="23" t="s">
        <v>201</v>
      </c>
      <c r="C37" s="23" t="s">
        <v>83</v>
      </c>
      <c r="D37" s="23" t="s">
        <v>260</v>
      </c>
      <c r="E37" s="23">
        <v>59.0</v>
      </c>
      <c r="F37" s="71">
        <v>322.51</v>
      </c>
      <c r="G37" s="50">
        <v>45580.0</v>
      </c>
      <c r="H37" s="19" t="s">
        <v>278</v>
      </c>
      <c r="I37" s="71">
        <f t="shared" si="1"/>
        <v>-19028.09</v>
      </c>
      <c r="K37" s="19"/>
    </row>
    <row r="38" ht="15.0" customHeight="1">
      <c r="A38" s="23" t="s">
        <v>203</v>
      </c>
      <c r="B38" s="23" t="s">
        <v>204</v>
      </c>
      <c r="C38" s="23" t="s">
        <v>83</v>
      </c>
      <c r="D38" s="23" t="s">
        <v>260</v>
      </c>
      <c r="E38" s="23">
        <v>91.0</v>
      </c>
      <c r="F38" s="71">
        <v>190.78</v>
      </c>
      <c r="G38" s="50">
        <v>45580.0</v>
      </c>
      <c r="H38" s="19" t="s">
        <v>278</v>
      </c>
      <c r="I38" s="71">
        <f t="shared" si="1"/>
        <v>-17360.98</v>
      </c>
      <c r="K38" s="19"/>
    </row>
    <row r="39" ht="15.0" customHeight="1">
      <c r="A39" s="23" t="s">
        <v>183</v>
      </c>
      <c r="B39" s="23" t="s">
        <v>184</v>
      </c>
      <c r="C39" s="23" t="s">
        <v>79</v>
      </c>
      <c r="D39" s="23" t="s">
        <v>260</v>
      </c>
      <c r="E39" s="23">
        <v>12.0</v>
      </c>
      <c r="F39" s="71">
        <v>528.73</v>
      </c>
      <c r="G39" s="50">
        <v>45580.0</v>
      </c>
      <c r="H39" s="19" t="s">
        <v>278</v>
      </c>
      <c r="I39" s="71">
        <f t="shared" si="1"/>
        <v>-6344.76</v>
      </c>
      <c r="K39" s="19"/>
    </row>
    <row r="40" ht="15.0" customHeight="1">
      <c r="A40" s="23" t="s">
        <v>105</v>
      </c>
      <c r="B40" s="23" t="s">
        <v>178</v>
      </c>
      <c r="C40" s="23" t="s">
        <v>79</v>
      </c>
      <c r="D40" s="23" t="s">
        <v>260</v>
      </c>
      <c r="E40" s="23">
        <v>11.0</v>
      </c>
      <c r="F40" s="71">
        <v>194.33</v>
      </c>
      <c r="G40" s="50">
        <v>45580.0</v>
      </c>
      <c r="H40" s="19" t="s">
        <v>278</v>
      </c>
      <c r="I40" s="71">
        <f t="shared" si="1"/>
        <v>-2137.63</v>
      </c>
      <c r="K40" s="19"/>
    </row>
    <row r="41" ht="15.0" customHeight="1">
      <c r="A41" s="23" t="s">
        <v>266</v>
      </c>
      <c r="B41" s="23" t="s">
        <v>338</v>
      </c>
      <c r="C41" s="23" t="s">
        <v>79</v>
      </c>
      <c r="D41" s="23" t="s">
        <v>260</v>
      </c>
      <c r="E41" s="23">
        <v>36.0</v>
      </c>
      <c r="F41" s="71">
        <v>138.83</v>
      </c>
      <c r="G41" s="50">
        <v>45580.0</v>
      </c>
      <c r="H41" s="19" t="s">
        <v>278</v>
      </c>
      <c r="I41" s="71">
        <f t="shared" si="1"/>
        <v>-4997.88</v>
      </c>
      <c r="K41" s="19"/>
    </row>
    <row r="42" ht="15.0" customHeight="1">
      <c r="A42" s="23" t="s">
        <v>181</v>
      </c>
      <c r="B42" s="23" t="s">
        <v>182</v>
      </c>
      <c r="C42" s="23" t="s">
        <v>79</v>
      </c>
      <c r="D42" s="23" t="s">
        <v>260</v>
      </c>
      <c r="E42" s="23">
        <v>23.0</v>
      </c>
      <c r="F42" s="71">
        <v>186.78</v>
      </c>
      <c r="G42" s="50">
        <v>45580.0</v>
      </c>
      <c r="H42" s="19" t="s">
        <v>278</v>
      </c>
      <c r="I42" s="71">
        <f t="shared" si="1"/>
        <v>-4295.94</v>
      </c>
      <c r="K42" s="19"/>
    </row>
    <row r="43" ht="15.0" customHeight="1">
      <c r="A43" s="23" t="s">
        <v>342</v>
      </c>
      <c r="B43" s="23" t="s">
        <v>180</v>
      </c>
      <c r="C43" s="23" t="s">
        <v>79</v>
      </c>
      <c r="D43" s="23" t="s">
        <v>260</v>
      </c>
      <c r="E43" s="23">
        <v>119.0</v>
      </c>
      <c r="F43" s="71">
        <v>108.24</v>
      </c>
      <c r="G43" s="50">
        <v>45580.0</v>
      </c>
      <c r="H43" s="19" t="s">
        <v>278</v>
      </c>
      <c r="I43" s="71">
        <f t="shared" si="1"/>
        <v>-12880.56</v>
      </c>
      <c r="K43" s="19"/>
    </row>
    <row r="44" ht="15.0" customHeight="1">
      <c r="A44" s="65" t="s">
        <v>51</v>
      </c>
      <c r="B44" s="65" t="s">
        <v>52</v>
      </c>
      <c r="C44" s="65" t="s">
        <v>17</v>
      </c>
      <c r="D44" s="65" t="s">
        <v>264</v>
      </c>
      <c r="E44" s="65">
        <v>43.0</v>
      </c>
      <c r="F44" s="218">
        <v>1120.55</v>
      </c>
      <c r="G44" s="219">
        <v>45590.0</v>
      </c>
      <c r="H44" s="65" t="s">
        <v>278</v>
      </c>
      <c r="I44" s="218">
        <f t="shared" si="1"/>
        <v>-48183.65</v>
      </c>
    </row>
    <row r="45" ht="15.0" customHeight="1">
      <c r="A45" s="23" t="s">
        <v>266</v>
      </c>
      <c r="B45" s="23" t="s">
        <v>338</v>
      </c>
      <c r="C45" s="23" t="s">
        <v>79</v>
      </c>
      <c r="D45" s="23" t="s">
        <v>261</v>
      </c>
      <c r="E45" s="23">
        <v>-77.0</v>
      </c>
      <c r="F45" s="71">
        <v>125.05</v>
      </c>
      <c r="G45" s="50">
        <v>45597.0</v>
      </c>
      <c r="H45" s="19">
        <v>0.16358053410254025</v>
      </c>
      <c r="I45" s="71">
        <f t="shared" si="1"/>
        <v>9628.85</v>
      </c>
      <c r="K45" s="19"/>
    </row>
    <row r="46" ht="15.0" customHeight="1">
      <c r="A46" s="23" t="s">
        <v>105</v>
      </c>
      <c r="B46" s="23" t="s">
        <v>178</v>
      </c>
      <c r="C46" s="23" t="s">
        <v>79</v>
      </c>
      <c r="D46" s="23" t="s">
        <v>261</v>
      </c>
      <c r="E46" s="23">
        <v>-37.0</v>
      </c>
      <c r="F46" s="71">
        <v>201.97</v>
      </c>
      <c r="G46" s="50">
        <v>45597.0</v>
      </c>
      <c r="H46" s="19">
        <v>1.0510815476794964</v>
      </c>
      <c r="I46" s="71">
        <f t="shared" si="1"/>
        <v>7472.89</v>
      </c>
      <c r="K46" s="19"/>
    </row>
    <row r="47" ht="15.0" customHeight="1">
      <c r="A47" s="23" t="s">
        <v>106</v>
      </c>
      <c r="B47" s="23" t="s">
        <v>180</v>
      </c>
      <c r="C47" s="23" t="s">
        <v>79</v>
      </c>
      <c r="D47" s="23" t="s">
        <v>261</v>
      </c>
      <c r="E47" s="23">
        <v>-134.0</v>
      </c>
      <c r="F47" s="71">
        <v>96.47</v>
      </c>
      <c r="G47" s="50">
        <v>45597.0</v>
      </c>
      <c r="H47" s="19">
        <v>0.7495466086325715</v>
      </c>
      <c r="I47" s="71">
        <f t="shared" si="1"/>
        <v>12926.98</v>
      </c>
      <c r="K47" s="19"/>
    </row>
    <row r="48" ht="15.0" customHeight="1">
      <c r="A48" s="23" t="s">
        <v>181</v>
      </c>
      <c r="B48" s="23" t="s">
        <v>182</v>
      </c>
      <c r="C48" s="23" t="s">
        <v>79</v>
      </c>
      <c r="D48" s="23" t="s">
        <v>261</v>
      </c>
      <c r="E48" s="23">
        <v>-32.0</v>
      </c>
      <c r="F48" s="71">
        <v>183.7</v>
      </c>
      <c r="G48" s="50">
        <v>45597.0</v>
      </c>
      <c r="H48" s="19">
        <v>0.2483011687958685</v>
      </c>
      <c r="I48" s="71">
        <f t="shared" si="1"/>
        <v>5878.4</v>
      </c>
      <c r="K48" s="19"/>
    </row>
    <row r="49" ht="15.0" customHeight="1">
      <c r="A49" s="23" t="s">
        <v>183</v>
      </c>
      <c r="B49" s="23" t="s">
        <v>184</v>
      </c>
      <c r="C49" s="23" t="s">
        <v>79</v>
      </c>
      <c r="D49" s="23" t="s">
        <v>261</v>
      </c>
      <c r="E49" s="23">
        <v>-4.0</v>
      </c>
      <c r="F49" s="71">
        <v>484.61</v>
      </c>
      <c r="G49" s="50">
        <v>45597.0</v>
      </c>
      <c r="H49" s="19">
        <v>0.125481908123926</v>
      </c>
      <c r="I49" s="71">
        <f t="shared" si="1"/>
        <v>1938.44</v>
      </c>
      <c r="K49" s="19"/>
    </row>
    <row r="50" ht="15.75" customHeight="1">
      <c r="A50" s="23" t="s">
        <v>186</v>
      </c>
      <c r="B50" s="23" t="s">
        <v>187</v>
      </c>
      <c r="C50" s="23" t="s">
        <v>79</v>
      </c>
      <c r="D50" s="23" t="s">
        <v>264</v>
      </c>
      <c r="E50" s="23">
        <v>417.0</v>
      </c>
      <c r="F50" s="71">
        <v>90.27</v>
      </c>
      <c r="G50" s="50">
        <v>45597.0</v>
      </c>
      <c r="H50" s="19" t="s">
        <v>278</v>
      </c>
      <c r="I50" s="71">
        <f t="shared" si="1"/>
        <v>-37642.59</v>
      </c>
      <c r="K50" s="19"/>
    </row>
    <row r="51" ht="15.75" customHeight="1">
      <c r="A51" s="65" t="s">
        <v>53</v>
      </c>
      <c r="B51" s="65" t="s">
        <v>54</v>
      </c>
      <c r="C51" s="65" t="s">
        <v>17</v>
      </c>
      <c r="D51" s="65" t="s">
        <v>264</v>
      </c>
      <c r="E51" s="65">
        <v>25.0</v>
      </c>
      <c r="F51" s="218">
        <v>966.0</v>
      </c>
      <c r="G51" s="219">
        <v>45611.0</v>
      </c>
      <c r="H51" s="67" t="s">
        <v>278</v>
      </c>
      <c r="I51" s="218">
        <f t="shared" si="1"/>
        <v>-24150</v>
      </c>
    </row>
    <row r="52" ht="15.75" customHeight="1">
      <c r="A52" s="23"/>
      <c r="B52" s="23"/>
      <c r="C52" s="23"/>
      <c r="D52" s="23"/>
      <c r="E52" s="23"/>
      <c r="F52" s="71"/>
      <c r="G52" s="50"/>
      <c r="H52" s="19" t="str">
        <f>IF(OR(D52="Sell to Trim", D52="Sell to Close"),F52/VLOOKUP(A52, 'Sector Holdings'!$B$3:$M$121, 11, FALSE) - 1, "N/A")</f>
        <v>N/A</v>
      </c>
      <c r="I52" s="71"/>
    </row>
    <row r="53" ht="15.75" customHeight="1">
      <c r="A53" s="23"/>
      <c r="C53" s="23"/>
      <c r="D53" s="23"/>
      <c r="E53" s="23"/>
      <c r="F53" s="71"/>
      <c r="G53" s="50"/>
      <c r="H53" s="19"/>
      <c r="I53" s="71"/>
    </row>
    <row r="54" ht="15.75" customHeight="1">
      <c r="A54" s="23"/>
      <c r="B54" s="23"/>
      <c r="C54" s="23"/>
      <c r="D54" s="23"/>
      <c r="E54" s="23"/>
      <c r="F54" s="71"/>
      <c r="G54" s="50"/>
      <c r="H54" s="19"/>
      <c r="I54" s="71"/>
    </row>
    <row r="55" ht="15.75" customHeight="1">
      <c r="A55" s="23"/>
      <c r="B55" s="23"/>
      <c r="C55" s="23"/>
      <c r="D55" s="23"/>
      <c r="E55" s="23"/>
      <c r="F55" s="71"/>
      <c r="G55" s="50"/>
      <c r="H55" s="19"/>
      <c r="I55" s="71"/>
    </row>
    <row r="56" ht="15.75" customHeight="1">
      <c r="A56" s="23"/>
      <c r="B56" s="23"/>
      <c r="C56" s="23"/>
      <c r="D56" s="23"/>
      <c r="E56" s="23"/>
      <c r="F56" s="71"/>
      <c r="G56" s="50"/>
      <c r="H56" s="19"/>
      <c r="I56" s="71"/>
    </row>
    <row r="57" ht="15.75" customHeight="1">
      <c r="A57" s="23"/>
      <c r="B57" s="23"/>
      <c r="C57" s="23"/>
      <c r="D57" s="23"/>
      <c r="E57" s="23"/>
      <c r="F57" s="71"/>
      <c r="G57" s="50"/>
      <c r="H57" s="19"/>
      <c r="I57" s="71"/>
    </row>
    <row r="58" ht="15.75" customHeight="1">
      <c r="A58" s="23"/>
      <c r="B58" s="23"/>
      <c r="C58" s="23"/>
      <c r="D58" s="23"/>
      <c r="E58" s="23"/>
      <c r="F58" s="71"/>
      <c r="G58" s="50"/>
      <c r="H58" s="19"/>
      <c r="I58" s="71"/>
    </row>
    <row r="59" ht="15.75" customHeight="1">
      <c r="A59" s="23"/>
      <c r="B59" s="23"/>
      <c r="C59" s="23"/>
      <c r="D59" s="23"/>
      <c r="E59" s="23"/>
      <c r="F59" s="71"/>
      <c r="G59" s="50"/>
      <c r="H59" s="19"/>
      <c r="I59" s="71"/>
    </row>
    <row r="60" ht="15.75" customHeight="1">
      <c r="A60" s="23"/>
      <c r="B60" s="23"/>
      <c r="C60" s="23"/>
      <c r="D60" s="23"/>
      <c r="E60" s="23"/>
      <c r="F60" s="71"/>
      <c r="G60" s="50"/>
      <c r="H60" s="19"/>
      <c r="I60" s="71"/>
    </row>
    <row r="61" ht="15.75" customHeight="1">
      <c r="A61" s="23"/>
      <c r="B61" s="23"/>
      <c r="C61" s="23"/>
      <c r="D61" s="23"/>
      <c r="E61" s="23"/>
      <c r="F61" s="71"/>
      <c r="G61" s="50"/>
      <c r="H61" s="19"/>
      <c r="I61" s="71"/>
    </row>
    <row r="62" ht="15.75" customHeight="1">
      <c r="A62" s="23"/>
      <c r="B62" s="23"/>
      <c r="C62" s="23"/>
      <c r="D62" s="23"/>
      <c r="E62" s="23"/>
      <c r="F62" s="71"/>
      <c r="G62" s="50"/>
      <c r="H62" s="19"/>
      <c r="I62" s="71"/>
    </row>
    <row r="63" ht="15.75" customHeight="1">
      <c r="A63" s="23"/>
      <c r="B63" s="23"/>
      <c r="C63" s="23"/>
      <c r="D63" s="23"/>
      <c r="E63" s="23"/>
      <c r="F63" s="71"/>
      <c r="G63" s="50"/>
      <c r="H63" s="19"/>
      <c r="I63" s="71"/>
    </row>
    <row r="64" ht="15.75" customHeight="1">
      <c r="A64" s="23"/>
      <c r="B64" s="23"/>
      <c r="C64" s="23"/>
      <c r="D64" s="23"/>
      <c r="E64" s="23"/>
      <c r="F64" s="71"/>
      <c r="G64" s="50"/>
      <c r="H64" s="19"/>
      <c r="I64" s="71"/>
    </row>
    <row r="65" ht="15.75" customHeight="1">
      <c r="A65" s="23"/>
      <c r="C65" s="23"/>
      <c r="D65" s="23"/>
      <c r="E65" s="23"/>
      <c r="F65" s="71"/>
      <c r="G65" s="50"/>
      <c r="H65" s="19"/>
      <c r="I65" s="71"/>
    </row>
    <row r="66" ht="15.75" customHeight="1">
      <c r="A66" s="23"/>
      <c r="B66" s="23"/>
      <c r="C66" s="23"/>
      <c r="D66" s="23"/>
      <c r="E66" s="23"/>
      <c r="F66" s="71"/>
      <c r="G66" s="50"/>
      <c r="H66" s="19"/>
      <c r="I66" s="71"/>
    </row>
    <row r="67" ht="15.75" customHeight="1">
      <c r="A67" s="23"/>
      <c r="B67" s="23"/>
      <c r="C67" s="23"/>
      <c r="D67" s="23"/>
      <c r="E67" s="23"/>
      <c r="F67" s="71"/>
      <c r="G67" s="50"/>
      <c r="H67" s="19"/>
      <c r="I67" s="71"/>
    </row>
    <row r="68" ht="15.75" customHeight="1">
      <c r="F68" s="71"/>
      <c r="G68" s="50"/>
      <c r="H68" s="19"/>
      <c r="I68" s="71"/>
    </row>
    <row r="69" ht="15.75" customHeight="1">
      <c r="F69" s="71"/>
      <c r="G69" s="50"/>
      <c r="H69" s="19"/>
      <c r="I69" s="71"/>
    </row>
    <row r="70" ht="15.75" customHeight="1">
      <c r="F70" s="71"/>
      <c r="G70" s="50"/>
      <c r="H70" s="19"/>
      <c r="I70" s="71"/>
    </row>
    <row r="71" ht="15.75" customHeight="1">
      <c r="F71" s="71"/>
      <c r="G71" s="50"/>
      <c r="H71" s="19"/>
      <c r="I71" s="71"/>
    </row>
    <row r="72" ht="15.75" customHeight="1">
      <c r="F72" s="71"/>
      <c r="G72" s="50"/>
      <c r="H72" s="19"/>
      <c r="I72" s="71"/>
    </row>
    <row r="73" ht="15.75" customHeight="1">
      <c r="F73" s="71"/>
      <c r="G73" s="50"/>
      <c r="H73" s="19"/>
      <c r="I73" s="71"/>
    </row>
    <row r="74" ht="15.75" customHeight="1">
      <c r="F74" s="71"/>
      <c r="G74" s="50"/>
      <c r="H74" s="19"/>
      <c r="I74" s="71"/>
    </row>
    <row r="75" ht="15.75" customHeight="1">
      <c r="F75" s="71"/>
      <c r="G75" s="50"/>
      <c r="H75" s="19"/>
      <c r="I75" s="71"/>
    </row>
    <row r="76" ht="15.75" customHeight="1">
      <c r="A76" s="18"/>
      <c r="F76" s="71"/>
      <c r="G76" s="50"/>
      <c r="H76" s="19"/>
      <c r="I76" s="71"/>
    </row>
    <row r="77" ht="15.75" customHeight="1">
      <c r="A77" s="18"/>
      <c r="F77" s="71"/>
      <c r="G77" s="50"/>
      <c r="H77" s="19"/>
      <c r="I77" s="71"/>
    </row>
    <row r="78" ht="15.75" customHeight="1">
      <c r="A78" s="18"/>
      <c r="F78" s="71"/>
      <c r="G78" s="50"/>
      <c r="H78" s="19"/>
      <c r="I78" s="71"/>
    </row>
    <row r="79" ht="15.75" customHeight="1">
      <c r="F79" s="71"/>
      <c r="G79" s="50"/>
      <c r="H79" s="19"/>
      <c r="I79" s="71"/>
    </row>
    <row r="80" ht="15.75" customHeight="1">
      <c r="F80" s="71"/>
      <c r="G80" s="50"/>
      <c r="H80" s="19"/>
      <c r="I80" s="71"/>
    </row>
    <row r="81" ht="15.75" customHeight="1">
      <c r="F81" s="71"/>
      <c r="G81" s="50"/>
      <c r="H81" s="19"/>
      <c r="I81" s="71"/>
    </row>
    <row r="82" ht="15.75" customHeight="1">
      <c r="A82" s="18"/>
      <c r="B82" s="23"/>
      <c r="C82" s="23"/>
      <c r="D82" s="23"/>
      <c r="E82" s="23"/>
      <c r="F82" s="71"/>
      <c r="G82" s="50"/>
      <c r="H82" s="19"/>
      <c r="I82" s="71"/>
    </row>
    <row r="83" ht="15.75" customHeight="1">
      <c r="A83" s="18"/>
      <c r="B83" s="23"/>
      <c r="C83" s="23"/>
      <c r="D83" s="23"/>
      <c r="E83" s="23"/>
      <c r="F83" s="71"/>
      <c r="G83" s="50"/>
      <c r="H83" s="19"/>
      <c r="I83" s="71"/>
    </row>
    <row r="84" ht="15.75" customHeight="1">
      <c r="A84" s="18"/>
      <c r="B84" s="23"/>
      <c r="C84" s="23"/>
      <c r="D84" s="23"/>
      <c r="E84" s="23"/>
      <c r="F84" s="71"/>
      <c r="G84" s="50"/>
      <c r="H84" s="19"/>
      <c r="I84" s="71"/>
    </row>
    <row r="85" ht="15.75" customHeight="1">
      <c r="A85" s="18"/>
      <c r="B85" s="23"/>
      <c r="C85" s="23"/>
      <c r="D85" s="23"/>
      <c r="E85" s="23"/>
      <c r="F85" s="71"/>
      <c r="G85" s="50"/>
      <c r="H85" s="19"/>
      <c r="I85" s="71"/>
    </row>
    <row r="86" ht="15.75" customHeight="1">
      <c r="A86" s="18"/>
      <c r="B86" s="23"/>
      <c r="C86" s="23"/>
      <c r="D86" s="23"/>
      <c r="E86" s="23"/>
      <c r="F86" s="71"/>
      <c r="G86" s="50"/>
      <c r="H86" s="19"/>
      <c r="I86" s="71"/>
    </row>
    <row r="87" ht="15.75" customHeight="1">
      <c r="A87" s="18"/>
      <c r="B87" s="23"/>
      <c r="C87" s="23"/>
      <c r="D87" s="23"/>
      <c r="E87" s="23"/>
      <c r="F87" s="71"/>
      <c r="G87" s="50"/>
      <c r="H87" s="19"/>
      <c r="I87" s="71"/>
    </row>
    <row r="88" ht="15.75" customHeight="1">
      <c r="A88" s="18"/>
      <c r="B88" s="23"/>
      <c r="C88" s="23"/>
      <c r="D88" s="23"/>
      <c r="E88" s="23"/>
      <c r="F88" s="71"/>
      <c r="G88" s="50"/>
      <c r="H88" s="19"/>
      <c r="I88" s="71"/>
    </row>
    <row r="89" ht="15.75" customHeight="1">
      <c r="A89" s="18"/>
      <c r="B89" s="23"/>
      <c r="C89" s="23"/>
      <c r="D89" s="23"/>
      <c r="E89" s="23"/>
      <c r="F89" s="71"/>
      <c r="G89" s="50"/>
      <c r="H89" s="19"/>
      <c r="I89" s="71"/>
    </row>
    <row r="90" ht="15.75" customHeight="1">
      <c r="A90" s="18"/>
      <c r="B90" s="23"/>
      <c r="C90" s="23"/>
      <c r="D90" s="23"/>
      <c r="E90" s="23"/>
      <c r="F90" s="71"/>
      <c r="G90" s="50"/>
      <c r="H90" s="19"/>
      <c r="I90" s="71"/>
    </row>
    <row r="91" ht="15.75" customHeight="1">
      <c r="A91" s="23"/>
      <c r="B91" s="23"/>
      <c r="C91" s="23"/>
      <c r="D91" s="23"/>
      <c r="E91" s="23"/>
      <c r="F91" s="11"/>
      <c r="G91" s="50"/>
      <c r="H91" s="19"/>
      <c r="I91" s="71"/>
    </row>
    <row r="92" ht="15.75" customHeight="1">
      <c r="A92" s="23"/>
      <c r="B92" s="23"/>
      <c r="C92" s="23"/>
      <c r="D92" s="23"/>
      <c r="E92" s="23"/>
      <c r="F92" s="71"/>
      <c r="G92" s="50"/>
      <c r="H92" s="19"/>
      <c r="I92" s="71"/>
    </row>
    <row r="93" ht="15.75" customHeight="1">
      <c r="A93" s="23"/>
      <c r="B93" s="23"/>
      <c r="C93" s="23"/>
      <c r="D93" s="23"/>
      <c r="E93" s="23"/>
      <c r="F93" s="71"/>
      <c r="G93" s="50"/>
      <c r="H93" s="19"/>
      <c r="I93" s="71"/>
    </row>
    <row r="94" ht="15.75" customHeight="1">
      <c r="A94" s="18"/>
      <c r="B94" s="23"/>
      <c r="C94" s="23"/>
      <c r="D94" s="23"/>
      <c r="E94" s="23"/>
      <c r="F94" s="71"/>
      <c r="G94" s="50"/>
      <c r="H94" s="19"/>
      <c r="I94" s="71"/>
    </row>
    <row r="95" ht="15.75" customHeight="1">
      <c r="A95" s="18"/>
      <c r="B95" s="23"/>
      <c r="C95" s="23"/>
      <c r="D95" s="23"/>
      <c r="E95" s="23"/>
      <c r="F95" s="71"/>
      <c r="G95" s="50"/>
      <c r="H95" s="19"/>
      <c r="I95" s="71"/>
    </row>
    <row r="96" ht="15.75" customHeight="1">
      <c r="F96" s="71"/>
      <c r="G96" s="50"/>
      <c r="H96" s="19"/>
      <c r="I96" s="71"/>
    </row>
    <row r="97" ht="15.75" customHeight="1">
      <c r="F97" s="71"/>
      <c r="G97" s="50"/>
      <c r="H97" s="19"/>
      <c r="I97" s="71"/>
    </row>
    <row r="98" ht="15.75" customHeight="1">
      <c r="F98" s="71"/>
      <c r="G98" s="50"/>
      <c r="H98" s="19"/>
      <c r="I98" s="71"/>
    </row>
    <row r="99" ht="15.75" customHeight="1">
      <c r="A99" s="23"/>
      <c r="F99" s="71"/>
      <c r="G99" s="50"/>
      <c r="H99" s="19"/>
      <c r="I99" s="71"/>
    </row>
    <row r="100" ht="15.75" customHeight="1">
      <c r="A100" s="23"/>
      <c r="F100" s="71"/>
      <c r="G100" s="50"/>
      <c r="H100" s="19"/>
      <c r="I100" s="71"/>
    </row>
    <row r="101" ht="15.75" customHeight="1">
      <c r="A101" s="23"/>
      <c r="F101" s="71"/>
      <c r="G101" s="50"/>
      <c r="H101" s="19"/>
      <c r="I101" s="71"/>
    </row>
    <row r="102" ht="15.75" customHeight="1">
      <c r="F102" s="71"/>
      <c r="G102" s="50"/>
      <c r="H102" s="19"/>
      <c r="I102" s="71"/>
    </row>
    <row r="103" ht="15.75" customHeight="1">
      <c r="F103" s="71"/>
      <c r="G103" s="50"/>
      <c r="H103" s="19"/>
      <c r="I103" s="71"/>
    </row>
    <row r="104" ht="15.75" customHeight="1">
      <c r="A104" s="23"/>
      <c r="B104" s="23"/>
      <c r="C104" s="23"/>
      <c r="D104" s="23"/>
      <c r="E104" s="23"/>
      <c r="F104" s="71"/>
      <c r="G104" s="50"/>
      <c r="H104" s="19"/>
      <c r="I104" s="71"/>
    </row>
    <row r="105" ht="15.75" customHeight="1">
      <c r="A105" s="18"/>
      <c r="B105" s="23"/>
      <c r="C105" s="23"/>
      <c r="D105" s="23"/>
      <c r="E105" s="23"/>
      <c r="F105" s="71"/>
      <c r="G105" s="50"/>
      <c r="H105" s="19"/>
      <c r="I105" s="71"/>
    </row>
    <row r="106" ht="15.75" customHeight="1">
      <c r="A106" s="18"/>
      <c r="B106" s="23"/>
      <c r="C106" s="23"/>
      <c r="D106" s="23"/>
      <c r="E106" s="23"/>
      <c r="F106" s="71"/>
      <c r="G106" s="50"/>
      <c r="H106" s="19"/>
      <c r="I106" s="71"/>
    </row>
    <row r="107" ht="15.75" customHeight="1">
      <c r="A107" s="18"/>
      <c r="B107" s="23"/>
      <c r="C107" s="23"/>
      <c r="D107" s="23"/>
      <c r="E107" s="23"/>
      <c r="F107" s="71"/>
      <c r="G107" s="50"/>
      <c r="H107" s="19"/>
      <c r="I107" s="71"/>
    </row>
    <row r="108" ht="15.75" customHeight="1">
      <c r="A108" s="18"/>
      <c r="B108" s="23"/>
      <c r="C108" s="23"/>
      <c r="D108" s="23"/>
      <c r="E108" s="23"/>
      <c r="F108" s="71"/>
      <c r="G108" s="50"/>
      <c r="H108" s="19"/>
      <c r="I108" s="71"/>
    </row>
    <row r="109" ht="15.75" customHeight="1">
      <c r="A109" s="18"/>
      <c r="B109" s="23"/>
      <c r="C109" s="23"/>
      <c r="D109" s="23"/>
      <c r="E109" s="23"/>
      <c r="F109" s="71"/>
      <c r="G109" s="50"/>
      <c r="H109" s="19"/>
      <c r="I109" s="71"/>
    </row>
    <row r="110" ht="15.75" customHeight="1">
      <c r="A110" s="18"/>
      <c r="B110" s="23"/>
      <c r="C110" s="23"/>
      <c r="D110" s="23"/>
      <c r="E110" s="23"/>
      <c r="F110" s="71"/>
      <c r="G110" s="50"/>
      <c r="H110" s="19"/>
      <c r="I110" s="71"/>
    </row>
    <row r="111" ht="15.75" customHeight="1">
      <c r="A111" s="23"/>
      <c r="B111" s="23"/>
      <c r="C111" s="23"/>
      <c r="D111" s="23"/>
      <c r="E111" s="23"/>
      <c r="F111" s="71"/>
      <c r="G111" s="50"/>
      <c r="H111" s="19"/>
      <c r="I111" s="71"/>
    </row>
    <row r="112" ht="15.75" customHeight="1">
      <c r="A112" s="18"/>
      <c r="B112" s="23"/>
      <c r="C112" s="23"/>
      <c r="D112" s="23"/>
      <c r="E112" s="23"/>
      <c r="F112" s="71"/>
      <c r="G112" s="50"/>
      <c r="H112" s="19"/>
      <c r="I112" s="71"/>
    </row>
    <row r="113" ht="15.75" customHeight="1">
      <c r="A113" s="18"/>
      <c r="B113" s="23"/>
      <c r="C113" s="23"/>
      <c r="D113" s="23"/>
      <c r="E113" s="23"/>
      <c r="F113" s="71"/>
      <c r="G113" s="50"/>
      <c r="H113" s="19"/>
      <c r="I113" s="71"/>
    </row>
    <row r="114" ht="15.75" customHeight="1">
      <c r="A114" s="18"/>
      <c r="B114" s="23"/>
      <c r="C114" s="23"/>
      <c r="D114" s="23"/>
      <c r="E114" s="23"/>
      <c r="F114" s="71"/>
      <c r="G114" s="50"/>
      <c r="H114" s="19"/>
      <c r="I114" s="71"/>
    </row>
    <row r="115" ht="15.75" customHeight="1">
      <c r="A115" s="18"/>
      <c r="B115" s="23"/>
      <c r="C115" s="23"/>
      <c r="D115" s="23"/>
      <c r="E115" s="23"/>
      <c r="F115" s="71"/>
      <c r="G115" s="50"/>
      <c r="H115" s="19"/>
      <c r="I115" s="71"/>
    </row>
    <row r="116" ht="15.75" customHeight="1">
      <c r="A116" s="18"/>
      <c r="B116" s="23"/>
      <c r="C116" s="23"/>
      <c r="D116" s="23"/>
      <c r="E116" s="23"/>
      <c r="F116" s="71"/>
      <c r="G116" s="50"/>
      <c r="H116" s="19"/>
      <c r="I116" s="71"/>
    </row>
    <row r="117" ht="15.75" customHeight="1">
      <c r="A117" s="18"/>
      <c r="B117" s="23"/>
      <c r="C117" s="23"/>
      <c r="D117" s="23"/>
      <c r="E117" s="23"/>
      <c r="F117" s="71"/>
      <c r="G117" s="50"/>
      <c r="H117" s="19"/>
      <c r="I117" s="71"/>
    </row>
    <row r="118" ht="15.75" customHeight="1">
      <c r="A118" s="18"/>
      <c r="B118" s="23"/>
      <c r="C118" s="23"/>
      <c r="D118" s="23"/>
      <c r="E118" s="23"/>
      <c r="F118" s="71"/>
      <c r="G118" s="50"/>
      <c r="H118" s="19"/>
      <c r="I118" s="71"/>
    </row>
    <row r="119" ht="15.75" customHeight="1">
      <c r="A119" s="18"/>
      <c r="B119" s="23"/>
      <c r="C119" s="23"/>
      <c r="D119" s="23"/>
      <c r="E119" s="23"/>
      <c r="F119" s="71"/>
      <c r="G119" s="50"/>
      <c r="H119" s="19"/>
      <c r="I119" s="71"/>
    </row>
    <row r="120" ht="15.75" customHeight="1">
      <c r="A120" s="18"/>
      <c r="B120" s="23"/>
      <c r="C120" s="23"/>
      <c r="D120" s="23"/>
      <c r="E120" s="23"/>
      <c r="F120" s="71"/>
      <c r="G120" s="50"/>
      <c r="H120" s="19"/>
      <c r="I120" s="71"/>
    </row>
    <row r="121" ht="15.75" customHeight="1">
      <c r="A121" s="18"/>
      <c r="B121" s="23"/>
      <c r="C121" s="23"/>
      <c r="D121" s="23"/>
      <c r="E121" s="23"/>
      <c r="F121" s="71"/>
      <c r="G121" s="50"/>
      <c r="H121" s="19"/>
      <c r="I121" s="71"/>
    </row>
    <row r="122" ht="15.75" customHeight="1">
      <c r="A122" s="18"/>
      <c r="B122" s="23"/>
      <c r="C122" s="23"/>
      <c r="D122" s="23"/>
      <c r="E122" s="23"/>
      <c r="F122" s="71"/>
      <c r="G122" s="50"/>
      <c r="H122" s="19"/>
      <c r="I122" s="71"/>
    </row>
    <row r="123" ht="15.75" customHeight="1">
      <c r="A123" s="18"/>
      <c r="B123" s="23"/>
      <c r="C123" s="23"/>
      <c r="D123" s="23"/>
      <c r="E123" s="23"/>
      <c r="F123" s="71"/>
      <c r="G123" s="50"/>
      <c r="H123" s="19"/>
      <c r="I123" s="71"/>
    </row>
    <row r="124" ht="15.75" customHeight="1">
      <c r="A124" s="23"/>
      <c r="B124" s="23"/>
      <c r="C124" s="23"/>
      <c r="D124" s="23"/>
      <c r="E124" s="23"/>
      <c r="F124" s="71"/>
      <c r="G124" s="50"/>
      <c r="H124" s="19"/>
      <c r="I124" s="71"/>
    </row>
    <row r="125" ht="15.75" customHeight="1">
      <c r="F125" s="71"/>
      <c r="G125" s="50"/>
      <c r="H125" s="19"/>
      <c r="I125" s="71"/>
    </row>
    <row r="126" ht="15.75" customHeight="1">
      <c r="A126" s="18"/>
      <c r="F126" s="71"/>
      <c r="G126" s="50"/>
      <c r="H126" s="19"/>
      <c r="I126" s="71"/>
    </row>
    <row r="127" ht="15.75" customHeight="1">
      <c r="A127" s="18"/>
      <c r="F127" s="71"/>
      <c r="G127" s="50"/>
      <c r="H127" s="19"/>
      <c r="I127" s="71"/>
    </row>
    <row r="128" ht="15.75" customHeight="1">
      <c r="A128" s="18"/>
      <c r="F128" s="71"/>
      <c r="G128" s="50"/>
      <c r="H128" s="19"/>
      <c r="I128" s="71"/>
    </row>
    <row r="129" ht="15.75" customHeight="1">
      <c r="A129" s="18"/>
      <c r="F129" s="71"/>
      <c r="G129" s="50"/>
      <c r="H129" s="19"/>
      <c r="I129" s="71"/>
    </row>
    <row r="130" ht="15.75" customHeight="1">
      <c r="A130" s="18"/>
      <c r="F130" s="71"/>
      <c r="G130" s="50"/>
      <c r="H130" s="19"/>
      <c r="I130" s="71"/>
    </row>
    <row r="131" ht="15.75" customHeight="1">
      <c r="F131" s="71"/>
      <c r="G131" s="50"/>
      <c r="H131" s="19"/>
      <c r="I131" s="71"/>
    </row>
    <row r="132" ht="15.75" customHeight="1">
      <c r="F132" s="71"/>
      <c r="G132" s="50"/>
      <c r="H132" s="19"/>
      <c r="I132" s="71"/>
    </row>
    <row r="133" ht="15.75" customHeight="1">
      <c r="A133" s="18"/>
      <c r="F133" s="71"/>
      <c r="G133" s="50"/>
      <c r="H133" s="19"/>
      <c r="I133" s="71"/>
    </row>
    <row r="134" ht="15.75" customHeight="1">
      <c r="A134" s="23"/>
      <c r="B134" s="23"/>
      <c r="C134" s="23"/>
      <c r="D134" s="23"/>
      <c r="E134" s="23"/>
      <c r="F134" s="71"/>
      <c r="G134" s="50"/>
      <c r="H134" s="19"/>
      <c r="I134" s="71"/>
    </row>
    <row r="135" ht="15.75" customHeight="1">
      <c r="A135" s="23"/>
      <c r="B135" s="23"/>
      <c r="C135" s="23"/>
      <c r="D135" s="23"/>
      <c r="E135" s="23"/>
      <c r="F135" s="71"/>
      <c r="G135" s="50"/>
      <c r="H135" s="19"/>
      <c r="I135" s="71"/>
    </row>
    <row r="136" ht="15.75" customHeight="1">
      <c r="A136" s="18"/>
      <c r="B136" s="23"/>
      <c r="C136" s="23"/>
      <c r="D136" s="23"/>
      <c r="E136" s="23"/>
      <c r="F136" s="71"/>
      <c r="G136" s="50"/>
      <c r="H136" s="19"/>
      <c r="I136" s="71"/>
    </row>
    <row r="137" ht="15.75" customHeight="1">
      <c r="A137" s="23"/>
      <c r="B137" s="23"/>
      <c r="C137" s="23"/>
      <c r="D137" s="23"/>
      <c r="E137" s="23"/>
      <c r="F137" s="71"/>
      <c r="G137" s="50"/>
      <c r="H137" s="19"/>
      <c r="I137" s="71"/>
    </row>
    <row r="138" ht="15.75" customHeight="1">
      <c r="A138" s="23"/>
      <c r="B138" s="23"/>
      <c r="C138" s="23"/>
      <c r="D138" s="23"/>
      <c r="E138" s="23"/>
      <c r="F138" s="71"/>
      <c r="G138" s="50"/>
      <c r="H138" s="19"/>
      <c r="I138" s="71"/>
    </row>
    <row r="139" ht="15.75" customHeight="1">
      <c r="A139" s="18"/>
      <c r="B139" s="23"/>
      <c r="C139" s="23"/>
      <c r="D139" s="23"/>
      <c r="E139" s="23"/>
      <c r="F139" s="71"/>
      <c r="G139" s="50"/>
      <c r="H139" s="19"/>
      <c r="I139" s="71"/>
    </row>
    <row r="140" ht="15.75" customHeight="1">
      <c r="F140" s="71"/>
      <c r="G140" s="50"/>
      <c r="H140" s="19"/>
      <c r="I140" s="71"/>
    </row>
    <row r="141" ht="15.75" customHeight="1">
      <c r="F141" s="71"/>
      <c r="G141" s="50"/>
      <c r="H141" s="19"/>
      <c r="I141" s="71"/>
    </row>
    <row r="142" ht="15.75" customHeight="1">
      <c r="F142" s="71"/>
      <c r="G142" s="50"/>
      <c r="H142" s="19"/>
      <c r="I142" s="71"/>
    </row>
    <row r="143" ht="15.75" customHeight="1">
      <c r="F143" s="71"/>
      <c r="G143" s="50"/>
      <c r="H143" s="19"/>
      <c r="I143" s="71"/>
    </row>
    <row r="144" ht="15.75" customHeight="1">
      <c r="F144" s="71"/>
      <c r="G144" s="50"/>
      <c r="H144" s="19"/>
      <c r="I144" s="71"/>
    </row>
    <row r="145" ht="15.75" customHeight="1">
      <c r="F145" s="71"/>
      <c r="G145" s="50"/>
      <c r="H145" s="19"/>
      <c r="I145" s="71"/>
    </row>
    <row r="146" ht="15.75" customHeight="1">
      <c r="F146" s="71"/>
      <c r="G146" s="50"/>
      <c r="H146" s="19"/>
      <c r="I146" s="71"/>
    </row>
    <row r="147" ht="15.75" customHeight="1">
      <c r="F147" s="71"/>
      <c r="G147" s="50"/>
      <c r="H147" s="19"/>
      <c r="I147" s="71"/>
    </row>
    <row r="148" ht="15.75" customHeight="1">
      <c r="F148" s="71"/>
      <c r="G148" s="50"/>
      <c r="H148" s="19"/>
      <c r="I148" s="71"/>
    </row>
    <row r="149" ht="15.75" customHeight="1">
      <c r="F149" s="71"/>
      <c r="G149" s="50"/>
      <c r="H149" s="19"/>
      <c r="I149" s="71"/>
    </row>
    <row r="150" ht="15.75" customHeight="1">
      <c r="F150" s="71"/>
      <c r="G150" s="50"/>
      <c r="H150" s="19"/>
      <c r="I150" s="71"/>
    </row>
    <row r="151" ht="15.75" customHeight="1">
      <c r="F151" s="71"/>
      <c r="G151" s="50"/>
      <c r="H151" s="19"/>
      <c r="I151" s="71"/>
    </row>
    <row r="152" ht="15.75" customHeight="1">
      <c r="F152" s="71"/>
      <c r="G152" s="50"/>
      <c r="H152" s="19"/>
      <c r="I152" s="71"/>
    </row>
    <row r="153" ht="15.75" customHeight="1">
      <c r="F153" s="71"/>
      <c r="G153" s="50"/>
      <c r="H153" s="19"/>
      <c r="I153" s="71"/>
    </row>
    <row r="154" ht="15.75" customHeight="1">
      <c r="F154" s="71"/>
      <c r="G154" s="50"/>
      <c r="H154" s="19"/>
      <c r="I154" s="71"/>
    </row>
    <row r="155" ht="15.75" customHeight="1">
      <c r="F155" s="71"/>
      <c r="G155" s="50"/>
      <c r="H155" s="19"/>
      <c r="I155" s="71"/>
    </row>
    <row r="156" ht="15.75" customHeight="1">
      <c r="F156" s="71"/>
      <c r="G156" s="50"/>
      <c r="H156" s="19"/>
      <c r="I156" s="71"/>
    </row>
    <row r="157" ht="15.75" customHeight="1">
      <c r="F157" s="71"/>
      <c r="G157" s="50"/>
      <c r="H157" s="19"/>
      <c r="I157" s="71"/>
    </row>
    <row r="158" ht="15.75" customHeight="1">
      <c r="F158" s="71"/>
      <c r="G158" s="50"/>
      <c r="H158" s="19"/>
      <c r="I158" s="71"/>
    </row>
    <row r="159" ht="15.75" customHeight="1">
      <c r="F159" s="71"/>
      <c r="G159" s="50"/>
      <c r="H159" s="19"/>
      <c r="I159" s="71"/>
    </row>
    <row r="160" ht="15.75" customHeight="1">
      <c r="A160" s="23"/>
      <c r="B160" s="23"/>
      <c r="C160" s="23"/>
      <c r="D160" s="23"/>
      <c r="E160" s="23"/>
      <c r="F160" s="71"/>
      <c r="G160" s="50"/>
      <c r="H160" s="19"/>
      <c r="I160" s="71"/>
    </row>
    <row r="161" ht="15.75" customHeight="1">
      <c r="A161" s="23"/>
      <c r="B161" s="23"/>
      <c r="C161" s="23"/>
      <c r="D161" s="23"/>
      <c r="E161" s="23"/>
      <c r="F161" s="71"/>
      <c r="G161" s="50"/>
      <c r="H161" s="19"/>
      <c r="I161" s="71"/>
    </row>
    <row r="162" ht="15.75" customHeight="1">
      <c r="A162" s="23"/>
      <c r="B162" s="23"/>
      <c r="C162" s="23"/>
      <c r="D162" s="23"/>
      <c r="E162" s="23"/>
      <c r="F162" s="71"/>
      <c r="G162" s="50"/>
      <c r="H162" s="19"/>
      <c r="I162" s="71"/>
    </row>
    <row r="163" ht="15.75" customHeight="1">
      <c r="A163" s="23"/>
      <c r="B163" s="23"/>
      <c r="C163" s="23"/>
      <c r="D163" s="23"/>
      <c r="E163" s="23"/>
      <c r="F163" s="71"/>
      <c r="G163" s="50"/>
      <c r="H163" s="19"/>
      <c r="I163" s="71"/>
    </row>
    <row r="164" ht="15.75" customHeight="1">
      <c r="A164" s="23"/>
      <c r="B164" s="23"/>
      <c r="C164" s="23"/>
      <c r="D164" s="23"/>
      <c r="E164" s="23"/>
      <c r="F164" s="71"/>
      <c r="G164" s="50"/>
      <c r="H164" s="19"/>
      <c r="I164" s="71"/>
    </row>
    <row r="165" ht="15.75" customHeight="1">
      <c r="A165" s="23"/>
      <c r="B165" s="23"/>
      <c r="C165" s="23"/>
      <c r="D165" s="23"/>
      <c r="E165" s="23"/>
      <c r="F165" s="71"/>
      <c r="G165" s="50"/>
      <c r="H165" s="19"/>
      <c r="I165" s="71"/>
    </row>
    <row r="166" ht="15.75" customHeight="1">
      <c r="A166" s="23"/>
      <c r="B166" s="23"/>
      <c r="C166" s="23"/>
      <c r="D166" s="23"/>
      <c r="E166" s="23"/>
      <c r="F166" s="71"/>
      <c r="G166" s="50"/>
      <c r="H166" s="19"/>
      <c r="I166" s="71"/>
    </row>
    <row r="167" ht="15.75" customHeight="1">
      <c r="B167" s="23" t="str">
        <f>IFERROR(VLOOKUP($A167, 'Sector Holdings'!$B$3:$C$130, 2, FALSE),"N/A")</f>
        <v>N/A</v>
      </c>
      <c r="F167" s="71"/>
      <c r="G167" s="50"/>
      <c r="H167" s="19" t="str">
        <f>IF(OR(D167="Sell to Trim", D167="Sell to Close"),F167/VLOOKUP(A167, 'Sector Holdings'!$B$3:$M$121, 11, FALSE) - 1, "N/A")</f>
        <v>N/A</v>
      </c>
      <c r="I167" s="71">
        <f>F167*E167*-1</f>
        <v>0</v>
      </c>
    </row>
    <row r="168" ht="15.75" customHeight="1">
      <c r="F168" s="71"/>
      <c r="G168" s="50"/>
      <c r="H168" s="19"/>
      <c r="I168" s="71"/>
    </row>
    <row r="169" ht="15.75" customHeight="1">
      <c r="F169" s="71"/>
      <c r="G169" s="50"/>
      <c r="H169" s="19"/>
      <c r="I169" s="71"/>
    </row>
    <row r="170" ht="15.75" customHeight="1">
      <c r="F170" s="71"/>
      <c r="G170" s="50"/>
      <c r="H170" s="19"/>
      <c r="I170" s="71"/>
    </row>
    <row r="171" ht="15.75" customHeight="1">
      <c r="F171" s="71"/>
      <c r="G171" s="50"/>
      <c r="H171" s="19"/>
      <c r="I171" s="71"/>
    </row>
    <row r="172" ht="15.75" customHeight="1">
      <c r="F172" s="71"/>
      <c r="G172" s="50"/>
      <c r="H172" s="19"/>
      <c r="I172" s="71"/>
    </row>
    <row r="173" ht="15.75" customHeight="1">
      <c r="F173" s="71"/>
      <c r="G173" s="50"/>
      <c r="H173" s="19"/>
      <c r="I173" s="71"/>
    </row>
    <row r="174" ht="15.75" customHeight="1">
      <c r="F174" s="71"/>
      <c r="G174" s="50"/>
      <c r="H174" s="19"/>
      <c r="I174" s="71"/>
    </row>
    <row r="175" ht="15.75" customHeight="1">
      <c r="F175" s="71"/>
      <c r="G175" s="50"/>
      <c r="H175" s="19"/>
      <c r="I175" s="71"/>
    </row>
    <row r="176" ht="15.75" customHeight="1">
      <c r="F176" s="71"/>
      <c r="G176" s="50"/>
      <c r="H176" s="19"/>
      <c r="I176" s="71"/>
    </row>
    <row r="177" ht="15.75" customHeight="1">
      <c r="F177" s="71"/>
      <c r="G177" s="50"/>
      <c r="H177" s="19"/>
      <c r="I177" s="71"/>
    </row>
    <row r="178" ht="15.75" customHeight="1">
      <c r="F178" s="71"/>
      <c r="G178" s="50"/>
      <c r="H178" s="19"/>
      <c r="I178" s="71"/>
    </row>
    <row r="179" ht="15.75" customHeight="1">
      <c r="F179" s="71"/>
      <c r="G179" s="50"/>
      <c r="H179" s="19"/>
      <c r="I179" s="71"/>
    </row>
    <row r="180" ht="15.75" customHeight="1">
      <c r="F180" s="71"/>
      <c r="G180" s="50"/>
      <c r="H180" s="19"/>
      <c r="I180" s="71"/>
    </row>
    <row r="181" ht="15.75" customHeight="1">
      <c r="F181" s="71"/>
      <c r="G181" s="50"/>
      <c r="H181" s="19"/>
      <c r="I181" s="71"/>
    </row>
    <row r="182" ht="15.75" customHeight="1">
      <c r="F182" s="71"/>
      <c r="G182" s="50"/>
      <c r="H182" s="19"/>
      <c r="I182" s="71"/>
    </row>
    <row r="183" ht="15.75" customHeight="1">
      <c r="F183" s="71"/>
      <c r="G183" s="50"/>
      <c r="H183" s="19"/>
      <c r="I183" s="71"/>
    </row>
    <row r="184" ht="15.75" customHeight="1">
      <c r="F184" s="71"/>
      <c r="G184" s="50"/>
      <c r="H184" s="19"/>
      <c r="I184" s="71"/>
    </row>
    <row r="185" ht="15.75" customHeight="1">
      <c r="F185" s="71"/>
      <c r="G185" s="50"/>
      <c r="H185" s="19"/>
      <c r="I185" s="71"/>
    </row>
    <row r="186" ht="15.75" customHeight="1">
      <c r="F186" s="71"/>
      <c r="G186" s="50"/>
      <c r="H186" s="19"/>
      <c r="I186" s="71"/>
    </row>
    <row r="187" ht="15.75" customHeight="1">
      <c r="F187" s="71"/>
      <c r="G187" s="50"/>
      <c r="H187" s="19"/>
      <c r="I187" s="71"/>
    </row>
    <row r="188" ht="15.75" customHeight="1">
      <c r="F188" s="71"/>
      <c r="G188" s="50"/>
      <c r="H188" s="19"/>
      <c r="I188" s="71"/>
    </row>
    <row r="189" ht="15.75" customHeight="1">
      <c r="F189" s="71"/>
      <c r="G189" s="50"/>
      <c r="H189" s="19"/>
      <c r="I189" s="71"/>
    </row>
    <row r="190" ht="15.75" customHeight="1">
      <c r="F190" s="71"/>
      <c r="G190" s="50"/>
      <c r="H190" s="19"/>
      <c r="I190" s="71"/>
    </row>
    <row r="191" ht="15.75" customHeight="1">
      <c r="F191" s="71"/>
      <c r="G191" s="50"/>
      <c r="H191" s="19"/>
      <c r="I191" s="71"/>
    </row>
    <row r="192" ht="15.75" customHeight="1">
      <c r="F192" s="71"/>
      <c r="G192" s="50"/>
      <c r="H192" s="19"/>
      <c r="I192" s="71"/>
    </row>
    <row r="193" ht="15.75" customHeight="1">
      <c r="F193" s="71"/>
      <c r="G193" s="50"/>
      <c r="H193" s="19"/>
      <c r="I193" s="71"/>
    </row>
    <row r="194" ht="15.75" customHeight="1">
      <c r="F194" s="71"/>
      <c r="G194" s="50"/>
      <c r="H194" s="19"/>
      <c r="I194" s="71"/>
    </row>
    <row r="195" ht="15.75" customHeight="1">
      <c r="F195" s="71"/>
      <c r="G195" s="50"/>
      <c r="H195" s="19"/>
      <c r="I195" s="71"/>
    </row>
    <row r="196" ht="15.75" customHeight="1">
      <c r="F196" s="71"/>
      <c r="G196" s="50"/>
      <c r="H196" s="19"/>
      <c r="I196" s="71"/>
    </row>
    <row r="197" ht="15.75" customHeight="1">
      <c r="F197" s="71"/>
      <c r="G197" s="50"/>
      <c r="H197" s="19"/>
      <c r="I197" s="71"/>
    </row>
    <row r="198" ht="15.75" customHeight="1">
      <c r="F198" s="71"/>
      <c r="G198" s="50"/>
      <c r="H198" s="19"/>
      <c r="I198" s="71"/>
    </row>
    <row r="199" ht="15.75" customHeight="1">
      <c r="F199" s="71"/>
      <c r="G199" s="50"/>
      <c r="H199" s="19"/>
      <c r="I199" s="71"/>
    </row>
    <row r="200" ht="15.75" customHeight="1">
      <c r="F200" s="71"/>
      <c r="G200" s="50"/>
      <c r="H200" s="19"/>
      <c r="I200" s="71"/>
    </row>
    <row r="201" ht="15.75" customHeight="1">
      <c r="F201" s="71"/>
      <c r="G201" s="50"/>
      <c r="H201" s="19"/>
      <c r="I201" s="71"/>
    </row>
    <row r="202" ht="15.75" customHeight="1">
      <c r="F202" s="71"/>
      <c r="G202" s="50"/>
      <c r="H202" s="19"/>
      <c r="I202" s="71"/>
    </row>
    <row r="203" ht="15.75" customHeight="1">
      <c r="F203" s="71"/>
      <c r="G203" s="50"/>
      <c r="H203" s="19"/>
      <c r="I203" s="71"/>
    </row>
    <row r="204" ht="15.75" customHeight="1">
      <c r="F204" s="71"/>
      <c r="G204" s="50"/>
      <c r="H204" s="19"/>
      <c r="I204" s="71"/>
    </row>
    <row r="205" ht="15.75" customHeight="1">
      <c r="F205" s="71"/>
      <c r="G205" s="50"/>
      <c r="H205" s="19"/>
      <c r="I205" s="71"/>
    </row>
    <row r="206" ht="15.75" customHeight="1">
      <c r="F206" s="71"/>
      <c r="G206" s="50"/>
      <c r="H206" s="19"/>
      <c r="I206" s="71"/>
    </row>
    <row r="207" ht="15.75" customHeight="1">
      <c r="F207" s="71"/>
      <c r="G207" s="50"/>
      <c r="H207" s="19"/>
      <c r="I207" s="71"/>
    </row>
    <row r="208" ht="15.75" customHeight="1">
      <c r="F208" s="71"/>
      <c r="G208" s="50"/>
      <c r="H208" s="19"/>
      <c r="I208" s="71"/>
    </row>
    <row r="209" ht="15.75" customHeight="1">
      <c r="F209" s="71"/>
      <c r="G209" s="50"/>
      <c r="H209" s="19"/>
      <c r="I209" s="71"/>
    </row>
    <row r="210" ht="15.75" customHeight="1">
      <c r="F210" s="71"/>
      <c r="G210" s="50"/>
      <c r="H210" s="19"/>
      <c r="I210" s="71"/>
    </row>
    <row r="211" ht="15.75" customHeight="1">
      <c r="F211" s="71"/>
      <c r="G211" s="50"/>
      <c r="H211" s="19"/>
      <c r="I211" s="71"/>
    </row>
    <row r="212" ht="15.75" customHeight="1">
      <c r="F212" s="71"/>
      <c r="G212" s="50"/>
      <c r="H212" s="19"/>
      <c r="I212" s="71"/>
    </row>
    <row r="213" ht="15.75" customHeight="1">
      <c r="F213" s="71"/>
      <c r="G213" s="50"/>
      <c r="H213" s="19"/>
      <c r="I213" s="71"/>
    </row>
    <row r="214" ht="15.75" customHeight="1">
      <c r="F214" s="71"/>
      <c r="G214" s="50"/>
      <c r="H214" s="19"/>
      <c r="I214" s="71"/>
    </row>
    <row r="215" ht="15.75" customHeight="1">
      <c r="F215" s="71"/>
      <c r="G215" s="50"/>
      <c r="H215" s="19"/>
      <c r="I215" s="71"/>
    </row>
    <row r="216" ht="15.75" customHeight="1">
      <c r="F216" s="71"/>
      <c r="G216" s="50"/>
      <c r="H216" s="19"/>
      <c r="I216" s="71"/>
    </row>
    <row r="217" ht="15.75" customHeight="1">
      <c r="F217" s="71"/>
      <c r="G217" s="50"/>
      <c r="H217" s="19"/>
      <c r="I217" s="71"/>
    </row>
    <row r="218" ht="15.75" customHeight="1">
      <c r="F218" s="71"/>
      <c r="G218" s="50"/>
      <c r="H218" s="19"/>
      <c r="I218" s="71"/>
    </row>
    <row r="219" ht="15.75" customHeight="1">
      <c r="F219" s="71"/>
      <c r="G219" s="50"/>
      <c r="H219" s="19"/>
      <c r="I219" s="71"/>
    </row>
    <row r="220" ht="15.75" customHeight="1">
      <c r="F220" s="71"/>
      <c r="G220" s="50"/>
      <c r="H220" s="19"/>
      <c r="I220" s="71"/>
    </row>
    <row r="221" ht="15.75" customHeight="1">
      <c r="F221" s="71"/>
      <c r="G221" s="50"/>
      <c r="H221" s="19"/>
      <c r="I221" s="71"/>
    </row>
    <row r="222" ht="15.75" customHeight="1">
      <c r="F222" s="71"/>
      <c r="G222" s="50"/>
      <c r="H222" s="19"/>
      <c r="I222" s="71"/>
    </row>
    <row r="223" ht="15.75" customHeight="1">
      <c r="F223" s="71"/>
      <c r="G223" s="50"/>
      <c r="H223" s="19"/>
      <c r="I223" s="71"/>
    </row>
    <row r="224" ht="15.75" customHeight="1">
      <c r="F224" s="71"/>
      <c r="G224" s="50"/>
      <c r="H224" s="19"/>
      <c r="I224" s="71"/>
    </row>
    <row r="225" ht="15.75" customHeight="1">
      <c r="F225" s="71"/>
      <c r="G225" s="50"/>
      <c r="H225" s="19"/>
      <c r="I225" s="71"/>
    </row>
    <row r="226" ht="15.75" customHeight="1">
      <c r="F226" s="71"/>
      <c r="G226" s="50"/>
      <c r="H226" s="19"/>
      <c r="I226" s="71"/>
    </row>
    <row r="227" ht="15.75" customHeight="1">
      <c r="F227" s="71"/>
      <c r="G227" s="50"/>
      <c r="H227" s="19"/>
      <c r="I227" s="71"/>
    </row>
    <row r="228" ht="15.75" customHeight="1">
      <c r="F228" s="71"/>
      <c r="G228" s="50"/>
      <c r="H228" s="19"/>
      <c r="I228" s="71"/>
    </row>
    <row r="229" ht="15.75" customHeight="1">
      <c r="F229" s="71"/>
      <c r="G229" s="50"/>
      <c r="H229" s="19"/>
      <c r="I229" s="71"/>
    </row>
    <row r="230" ht="15.75" customHeight="1">
      <c r="F230" s="71"/>
      <c r="G230" s="50"/>
      <c r="H230" s="19"/>
      <c r="I230" s="71"/>
    </row>
    <row r="231" ht="15.75" customHeight="1">
      <c r="F231" s="71"/>
      <c r="G231" s="50"/>
      <c r="H231" s="19"/>
      <c r="I231" s="71"/>
    </row>
    <row r="232" ht="15.75" customHeight="1">
      <c r="F232" s="71"/>
      <c r="G232" s="50"/>
      <c r="H232" s="19"/>
      <c r="I232" s="71"/>
    </row>
    <row r="233" ht="15.75" customHeight="1">
      <c r="F233" s="71"/>
      <c r="G233" s="50"/>
      <c r="H233" s="19"/>
      <c r="I233" s="71"/>
    </row>
    <row r="234" ht="15.75" customHeight="1">
      <c r="F234" s="71"/>
      <c r="G234" s="50"/>
      <c r="H234" s="19"/>
      <c r="I234" s="71"/>
    </row>
    <row r="235" ht="15.75" customHeight="1">
      <c r="F235" s="71"/>
      <c r="G235" s="50"/>
      <c r="H235" s="19"/>
      <c r="I235" s="71"/>
    </row>
    <row r="236" ht="15.75" customHeight="1">
      <c r="F236" s="71"/>
      <c r="G236" s="50"/>
      <c r="H236" s="19"/>
      <c r="I236" s="71"/>
    </row>
    <row r="237" ht="15.75" customHeight="1">
      <c r="F237" s="71"/>
      <c r="G237" s="50"/>
      <c r="H237" s="19"/>
      <c r="I237" s="71"/>
    </row>
    <row r="238" ht="15.75" customHeight="1">
      <c r="F238" s="71"/>
      <c r="G238" s="50"/>
      <c r="H238" s="19"/>
      <c r="I238" s="71"/>
    </row>
    <row r="239" ht="15.75" customHeight="1">
      <c r="F239" s="71"/>
      <c r="G239" s="50"/>
      <c r="H239" s="19"/>
      <c r="I239" s="71"/>
    </row>
    <row r="240" ht="15.75" customHeight="1">
      <c r="F240" s="71"/>
      <c r="G240" s="50"/>
      <c r="H240" s="19"/>
      <c r="I240" s="71"/>
    </row>
    <row r="241" ht="15.75" customHeight="1">
      <c r="F241" s="71"/>
      <c r="G241" s="50"/>
      <c r="H241" s="19"/>
      <c r="I241" s="71"/>
    </row>
    <row r="242" ht="15.75" customHeight="1">
      <c r="F242" s="71"/>
      <c r="G242" s="50"/>
      <c r="H242" s="19"/>
      <c r="I242" s="71"/>
    </row>
    <row r="243" ht="15.75" customHeight="1">
      <c r="F243" s="71"/>
      <c r="G243" s="50"/>
      <c r="H243" s="19"/>
      <c r="I243" s="71"/>
    </row>
    <row r="244" ht="15.75" customHeight="1">
      <c r="F244" s="71"/>
      <c r="G244" s="50"/>
      <c r="H244" s="19"/>
      <c r="I244" s="71"/>
    </row>
    <row r="245" ht="15.75" customHeight="1">
      <c r="F245" s="71"/>
      <c r="G245" s="50"/>
      <c r="H245" s="19"/>
      <c r="I245" s="71"/>
    </row>
    <row r="246" ht="15.75" customHeight="1">
      <c r="F246" s="71"/>
      <c r="G246" s="50"/>
      <c r="H246" s="19"/>
      <c r="I246" s="71"/>
    </row>
    <row r="247" ht="15.75" customHeight="1">
      <c r="F247" s="71"/>
      <c r="G247" s="50"/>
      <c r="H247" s="19"/>
      <c r="I247" s="71"/>
    </row>
    <row r="248" ht="15.75" customHeight="1">
      <c r="F248" s="71"/>
      <c r="G248" s="50"/>
      <c r="H248" s="19"/>
      <c r="I248" s="71"/>
    </row>
    <row r="249" ht="15.75" customHeight="1">
      <c r="F249" s="71"/>
      <c r="G249" s="50"/>
      <c r="H249" s="19"/>
      <c r="I249" s="71"/>
    </row>
    <row r="250" ht="15.75" customHeight="1">
      <c r="F250" s="71"/>
      <c r="G250" s="50"/>
      <c r="H250" s="19"/>
      <c r="I250" s="71"/>
    </row>
    <row r="251" ht="15.75" customHeight="1">
      <c r="F251" s="71"/>
      <c r="G251" s="50"/>
      <c r="H251" s="19"/>
      <c r="I251" s="71"/>
    </row>
    <row r="252" ht="15.75" customHeight="1">
      <c r="F252" s="71"/>
      <c r="G252" s="50"/>
      <c r="H252" s="19"/>
      <c r="I252" s="71"/>
    </row>
    <row r="253" ht="15.75" customHeight="1">
      <c r="F253" s="71"/>
      <c r="G253" s="50"/>
      <c r="H253" s="19"/>
      <c r="I253" s="71"/>
    </row>
    <row r="254" ht="15.75" customHeight="1">
      <c r="F254" s="71"/>
      <c r="G254" s="50"/>
      <c r="H254" s="19"/>
      <c r="I254" s="71"/>
    </row>
    <row r="255" ht="15.75" customHeight="1">
      <c r="F255" s="71"/>
      <c r="G255" s="50"/>
      <c r="H255" s="19"/>
      <c r="I255" s="71"/>
    </row>
    <row r="256" ht="15.75" customHeight="1">
      <c r="F256" s="71"/>
      <c r="G256" s="50"/>
      <c r="H256" s="19"/>
      <c r="I256" s="71"/>
    </row>
    <row r="257" ht="15.75" customHeight="1">
      <c r="F257" s="71"/>
      <c r="G257" s="50"/>
      <c r="H257" s="19"/>
      <c r="I257" s="71"/>
    </row>
    <row r="258" ht="15.75" customHeight="1">
      <c r="F258" s="71"/>
      <c r="G258" s="50"/>
      <c r="H258" s="19"/>
      <c r="I258" s="71"/>
    </row>
    <row r="259" ht="15.75" customHeight="1">
      <c r="F259" s="71"/>
      <c r="G259" s="50"/>
      <c r="H259" s="19"/>
      <c r="I259" s="71"/>
    </row>
    <row r="260" ht="15.75" customHeight="1">
      <c r="F260" s="71"/>
      <c r="G260" s="50"/>
      <c r="H260" s="19"/>
      <c r="I260" s="71"/>
    </row>
    <row r="261" ht="15.75" customHeight="1">
      <c r="F261" s="71"/>
      <c r="G261" s="50"/>
      <c r="H261" s="19"/>
      <c r="I261" s="71"/>
    </row>
    <row r="262" ht="15.75" customHeight="1">
      <c r="F262" s="71"/>
      <c r="G262" s="50"/>
      <c r="H262" s="19"/>
      <c r="I262" s="71"/>
    </row>
    <row r="263" ht="15.75" customHeight="1">
      <c r="F263" s="71"/>
      <c r="G263" s="50"/>
      <c r="H263" s="19"/>
      <c r="I263" s="71"/>
    </row>
    <row r="264" ht="15.75" customHeight="1">
      <c r="F264" s="71"/>
      <c r="G264" s="50"/>
      <c r="H264" s="19"/>
      <c r="I264" s="71"/>
    </row>
    <row r="265" ht="15.75" customHeight="1">
      <c r="F265" s="71"/>
      <c r="G265" s="50"/>
      <c r="H265" s="19"/>
      <c r="I265" s="71"/>
    </row>
    <row r="266" ht="15.75" customHeight="1">
      <c r="F266" s="71"/>
      <c r="G266" s="50"/>
      <c r="H266" s="19"/>
      <c r="I266" s="71"/>
    </row>
    <row r="267" ht="15.75" customHeight="1">
      <c r="F267" s="71"/>
      <c r="G267" s="50"/>
      <c r="H267" s="19"/>
      <c r="I267" s="71"/>
    </row>
    <row r="268" ht="15.75" customHeight="1">
      <c r="F268" s="71"/>
      <c r="G268" s="50"/>
      <c r="H268" s="19"/>
      <c r="I268" s="71"/>
    </row>
    <row r="269" ht="15.75" customHeight="1">
      <c r="F269" s="71"/>
      <c r="G269" s="50"/>
      <c r="H269" s="19"/>
      <c r="I269" s="71"/>
    </row>
    <row r="270" ht="15.75" customHeight="1">
      <c r="F270" s="71"/>
      <c r="G270" s="50"/>
      <c r="H270" s="19"/>
      <c r="I270" s="71"/>
    </row>
    <row r="271" ht="15.75" customHeight="1">
      <c r="F271" s="71"/>
      <c r="G271" s="50"/>
      <c r="H271" s="19"/>
      <c r="I271" s="71"/>
    </row>
    <row r="272" ht="15.75" customHeight="1">
      <c r="F272" s="71"/>
      <c r="G272" s="50"/>
      <c r="H272" s="19"/>
      <c r="I272" s="71"/>
    </row>
    <row r="273" ht="15.75" customHeight="1">
      <c r="F273" s="71"/>
      <c r="G273" s="50"/>
      <c r="H273" s="19"/>
      <c r="I273" s="71"/>
    </row>
    <row r="274" ht="15.75" customHeight="1">
      <c r="F274" s="71"/>
      <c r="G274" s="50"/>
      <c r="H274" s="19"/>
      <c r="I274" s="71"/>
    </row>
    <row r="275" ht="15.75" customHeight="1">
      <c r="F275" s="71"/>
      <c r="G275" s="50"/>
      <c r="H275" s="19"/>
      <c r="I275" s="71"/>
    </row>
    <row r="276" ht="15.75" customHeight="1">
      <c r="F276" s="71"/>
      <c r="G276" s="50"/>
      <c r="H276" s="19"/>
      <c r="I276" s="71"/>
    </row>
    <row r="277" ht="15.75" customHeight="1">
      <c r="F277" s="71"/>
      <c r="G277" s="50"/>
      <c r="H277" s="19"/>
      <c r="I277" s="71"/>
    </row>
    <row r="278" ht="15.75" customHeight="1">
      <c r="F278" s="71"/>
      <c r="G278" s="50"/>
      <c r="H278" s="19"/>
      <c r="I278" s="71"/>
    </row>
    <row r="279" ht="15.75" customHeight="1">
      <c r="F279" s="71"/>
      <c r="G279" s="50"/>
      <c r="H279" s="19"/>
      <c r="I279" s="71"/>
    </row>
    <row r="280" ht="15.75" customHeight="1">
      <c r="F280" s="71"/>
      <c r="G280" s="50"/>
      <c r="H280" s="19"/>
      <c r="I280" s="71"/>
    </row>
    <row r="281" ht="15.75" customHeight="1">
      <c r="F281" s="71"/>
      <c r="G281" s="50"/>
      <c r="H281" s="19"/>
      <c r="I281" s="71"/>
    </row>
    <row r="282" ht="15.75" customHeight="1">
      <c r="F282" s="71"/>
      <c r="G282" s="50"/>
      <c r="H282" s="19"/>
      <c r="I282" s="71"/>
    </row>
    <row r="283" ht="15.75" customHeight="1">
      <c r="F283" s="71"/>
      <c r="G283" s="50"/>
      <c r="H283" s="19"/>
      <c r="I283" s="71"/>
    </row>
    <row r="284" ht="15.75" customHeight="1">
      <c r="F284" s="71"/>
      <c r="G284" s="50"/>
      <c r="H284" s="19"/>
      <c r="I284" s="71"/>
    </row>
    <row r="285" ht="15.75" customHeight="1">
      <c r="F285" s="71"/>
      <c r="G285" s="50"/>
      <c r="H285" s="19"/>
      <c r="I285" s="71"/>
    </row>
    <row r="286" ht="15.75" customHeight="1">
      <c r="F286" s="71"/>
      <c r="G286" s="50"/>
      <c r="H286" s="19"/>
      <c r="I286" s="71"/>
    </row>
    <row r="287" ht="15.75" customHeight="1">
      <c r="F287" s="71"/>
      <c r="G287" s="50"/>
      <c r="H287" s="19"/>
      <c r="I287" s="71"/>
    </row>
    <row r="288" ht="15.75" customHeight="1">
      <c r="F288" s="71"/>
      <c r="G288" s="50"/>
      <c r="H288" s="19"/>
      <c r="I288" s="71"/>
    </row>
    <row r="289" ht="15.75" customHeight="1">
      <c r="F289" s="71"/>
      <c r="G289" s="50"/>
      <c r="H289" s="19"/>
      <c r="I289" s="71"/>
    </row>
    <row r="290" ht="15.75" customHeight="1">
      <c r="F290" s="71"/>
      <c r="G290" s="50"/>
      <c r="H290" s="19"/>
      <c r="I290" s="71"/>
    </row>
    <row r="291" ht="15.75" customHeight="1">
      <c r="F291" s="71"/>
      <c r="G291" s="50"/>
      <c r="H291" s="19"/>
      <c r="I291" s="71"/>
    </row>
    <row r="292" ht="15.75" customHeight="1">
      <c r="F292" s="71"/>
      <c r="G292" s="50"/>
      <c r="H292" s="19"/>
      <c r="I292" s="71"/>
    </row>
    <row r="293" ht="15.75" customHeight="1">
      <c r="F293" s="71"/>
      <c r="G293" s="50"/>
      <c r="H293" s="19"/>
      <c r="I293" s="71"/>
    </row>
    <row r="294" ht="15.75" customHeight="1">
      <c r="F294" s="71"/>
      <c r="G294" s="50"/>
      <c r="H294" s="19"/>
      <c r="I294" s="71"/>
    </row>
    <row r="295" ht="15.75" customHeight="1">
      <c r="F295" s="71"/>
      <c r="G295" s="50"/>
      <c r="H295" s="19"/>
      <c r="I295" s="71"/>
    </row>
    <row r="296" ht="15.75" customHeight="1">
      <c r="F296" s="71"/>
      <c r="G296" s="50"/>
      <c r="H296" s="19"/>
      <c r="I296" s="71"/>
    </row>
    <row r="297" ht="15.75" customHeight="1">
      <c r="F297" s="71"/>
      <c r="G297" s="50"/>
      <c r="H297" s="19"/>
      <c r="I297" s="71"/>
    </row>
    <row r="298" ht="15.75" customHeight="1">
      <c r="F298" s="71"/>
      <c r="G298" s="50"/>
      <c r="H298" s="19"/>
      <c r="I298" s="71"/>
    </row>
    <row r="299" ht="15.75" customHeight="1">
      <c r="F299" s="71"/>
      <c r="G299" s="50"/>
      <c r="H299" s="19"/>
      <c r="I299" s="71"/>
    </row>
    <row r="300" ht="15.75" customHeight="1">
      <c r="F300" s="71"/>
      <c r="G300" s="50"/>
      <c r="H300" s="19"/>
      <c r="I300" s="71"/>
    </row>
    <row r="301" ht="15.75" customHeight="1">
      <c r="F301" s="71"/>
      <c r="G301" s="50"/>
      <c r="H301" s="19"/>
      <c r="I301" s="71"/>
    </row>
    <row r="302" ht="15.75" customHeight="1">
      <c r="F302" s="71"/>
      <c r="G302" s="50"/>
      <c r="H302" s="19"/>
      <c r="I302" s="71"/>
    </row>
    <row r="303" ht="15.75" customHeight="1">
      <c r="F303" s="71"/>
      <c r="G303" s="50"/>
      <c r="H303" s="19"/>
      <c r="I303" s="71"/>
    </row>
    <row r="304" ht="15.75" customHeight="1">
      <c r="F304" s="71"/>
      <c r="G304" s="50"/>
      <c r="H304" s="19"/>
      <c r="I304" s="71"/>
    </row>
    <row r="305" ht="15.75" customHeight="1">
      <c r="F305" s="71"/>
      <c r="G305" s="50"/>
      <c r="H305" s="19"/>
      <c r="I305" s="71"/>
    </row>
    <row r="306" ht="15.75" customHeight="1">
      <c r="F306" s="71"/>
      <c r="G306" s="50"/>
      <c r="H306" s="19"/>
      <c r="I306" s="71"/>
    </row>
    <row r="307" ht="15.75" customHeight="1">
      <c r="F307" s="71"/>
      <c r="G307" s="50"/>
      <c r="H307" s="19"/>
      <c r="I307" s="71"/>
    </row>
    <row r="308" ht="15.75" customHeight="1">
      <c r="F308" s="71"/>
      <c r="G308" s="50"/>
      <c r="H308" s="19"/>
      <c r="I308" s="71"/>
    </row>
    <row r="309" ht="15.75" customHeight="1">
      <c r="F309" s="71"/>
      <c r="G309" s="50"/>
      <c r="H309" s="19"/>
      <c r="I309" s="71"/>
    </row>
    <row r="310" ht="15.75" customHeight="1">
      <c r="F310" s="71"/>
      <c r="G310" s="50"/>
      <c r="H310" s="19"/>
      <c r="I310" s="71"/>
    </row>
    <row r="311" ht="15.75" customHeight="1">
      <c r="F311" s="71"/>
      <c r="G311" s="50"/>
      <c r="H311" s="19"/>
      <c r="I311" s="71"/>
    </row>
    <row r="312" ht="15.75" customHeight="1">
      <c r="F312" s="71"/>
      <c r="G312" s="50"/>
      <c r="H312" s="19"/>
      <c r="I312" s="71"/>
    </row>
    <row r="313" ht="15.75" customHeight="1">
      <c r="F313" s="71"/>
      <c r="G313" s="50"/>
      <c r="H313" s="19"/>
      <c r="I313" s="71"/>
    </row>
    <row r="314" ht="15.75" customHeight="1">
      <c r="F314" s="71"/>
      <c r="G314" s="50"/>
      <c r="H314" s="19"/>
      <c r="I314" s="71"/>
    </row>
    <row r="315" ht="15.75" customHeight="1">
      <c r="F315" s="71"/>
      <c r="G315" s="50"/>
      <c r="H315" s="19"/>
      <c r="I315" s="71"/>
    </row>
    <row r="316" ht="15.75" customHeight="1">
      <c r="F316" s="71"/>
      <c r="G316" s="50"/>
      <c r="H316" s="19"/>
      <c r="I316" s="71"/>
    </row>
    <row r="317" ht="15.75" customHeight="1">
      <c r="F317" s="71"/>
      <c r="G317" s="50"/>
      <c r="H317" s="19"/>
      <c r="I317" s="71"/>
    </row>
    <row r="318" ht="15.75" customHeight="1">
      <c r="F318" s="71"/>
      <c r="G318" s="50"/>
      <c r="H318" s="19"/>
      <c r="I318" s="71"/>
    </row>
    <row r="319" ht="15.75" customHeight="1">
      <c r="F319" s="71"/>
      <c r="G319" s="50"/>
      <c r="H319" s="19"/>
      <c r="I319" s="71"/>
    </row>
    <row r="320" ht="15.75" customHeight="1">
      <c r="F320" s="71"/>
      <c r="G320" s="50"/>
      <c r="H320" s="19"/>
      <c r="I320" s="71"/>
    </row>
    <row r="321" ht="15.75" customHeight="1">
      <c r="F321" s="71"/>
      <c r="G321" s="50"/>
      <c r="H321" s="19"/>
      <c r="I321" s="71"/>
    </row>
    <row r="322" ht="15.75" customHeight="1">
      <c r="F322" s="71"/>
      <c r="G322" s="50"/>
      <c r="H322" s="19"/>
      <c r="I322" s="71"/>
    </row>
    <row r="323" ht="15.75" customHeight="1">
      <c r="F323" s="71"/>
      <c r="G323" s="50"/>
      <c r="H323" s="19"/>
      <c r="I323" s="71"/>
    </row>
    <row r="324" ht="15.75" customHeight="1">
      <c r="F324" s="71"/>
      <c r="G324" s="50"/>
      <c r="H324" s="19"/>
      <c r="I324" s="71"/>
    </row>
    <row r="325" ht="15.75" customHeight="1">
      <c r="F325" s="71"/>
      <c r="G325" s="50"/>
      <c r="H325" s="19"/>
      <c r="I325" s="71"/>
    </row>
    <row r="326" ht="15.75" customHeight="1">
      <c r="F326" s="71"/>
      <c r="G326" s="50"/>
      <c r="H326" s="19"/>
      <c r="I326" s="71"/>
    </row>
    <row r="327" ht="15.75" customHeight="1">
      <c r="F327" s="71"/>
      <c r="G327" s="50"/>
      <c r="H327" s="19"/>
      <c r="I327" s="71"/>
    </row>
    <row r="328" ht="15.75" customHeight="1">
      <c r="F328" s="71"/>
      <c r="G328" s="50"/>
      <c r="H328" s="19"/>
      <c r="I328" s="71"/>
    </row>
    <row r="329" ht="15.75" customHeight="1">
      <c r="F329" s="71"/>
      <c r="G329" s="50"/>
      <c r="H329" s="19"/>
      <c r="I329" s="71"/>
    </row>
    <row r="330" ht="15.75" customHeight="1">
      <c r="F330" s="71"/>
      <c r="G330" s="50"/>
      <c r="H330" s="19"/>
      <c r="I330" s="71"/>
    </row>
    <row r="331" ht="15.75" customHeight="1">
      <c r="F331" s="71"/>
      <c r="G331" s="50"/>
      <c r="H331" s="19"/>
      <c r="I331" s="71"/>
    </row>
    <row r="332" ht="15.75" customHeight="1">
      <c r="F332" s="71"/>
      <c r="G332" s="50"/>
      <c r="H332" s="19"/>
      <c r="I332" s="71"/>
    </row>
    <row r="333" ht="15.75" customHeight="1">
      <c r="F333" s="71"/>
      <c r="G333" s="50"/>
      <c r="H333" s="19"/>
      <c r="I333" s="71"/>
    </row>
    <row r="334" ht="15.75" customHeight="1">
      <c r="F334" s="71"/>
      <c r="G334" s="50"/>
      <c r="H334" s="19"/>
      <c r="I334" s="71"/>
    </row>
    <row r="335" ht="15.75" customHeight="1">
      <c r="F335" s="71"/>
      <c r="G335" s="50"/>
      <c r="H335" s="19"/>
      <c r="I335" s="71"/>
    </row>
    <row r="336" ht="15.75" customHeight="1">
      <c r="F336" s="71"/>
      <c r="G336" s="50"/>
      <c r="H336" s="19"/>
      <c r="I336" s="71"/>
    </row>
    <row r="337" ht="15.75" customHeight="1">
      <c r="F337" s="71"/>
      <c r="G337" s="50"/>
      <c r="H337" s="19"/>
      <c r="I337" s="71"/>
    </row>
    <row r="338" ht="15.75" customHeight="1">
      <c r="F338" s="71"/>
      <c r="G338" s="50"/>
      <c r="H338" s="19"/>
      <c r="I338" s="71"/>
    </row>
    <row r="339" ht="15.75" customHeight="1">
      <c r="F339" s="71"/>
      <c r="G339" s="50"/>
      <c r="H339" s="19"/>
      <c r="I339" s="71"/>
    </row>
    <row r="340" ht="15.75" customHeight="1">
      <c r="F340" s="71"/>
      <c r="G340" s="50"/>
      <c r="H340" s="19"/>
      <c r="I340" s="71"/>
    </row>
    <row r="341" ht="15.75" customHeight="1">
      <c r="F341" s="71"/>
      <c r="G341" s="50"/>
      <c r="H341" s="19"/>
      <c r="I341" s="71"/>
    </row>
    <row r="342" ht="15.75" customHeight="1">
      <c r="F342" s="71"/>
      <c r="G342" s="50"/>
      <c r="H342" s="19"/>
      <c r="I342" s="71"/>
    </row>
    <row r="343" ht="15.75" customHeight="1">
      <c r="F343" s="71"/>
      <c r="G343" s="50"/>
      <c r="H343" s="19"/>
      <c r="I343" s="71"/>
    </row>
    <row r="344" ht="15.75" customHeight="1">
      <c r="F344" s="71"/>
      <c r="G344" s="50"/>
      <c r="H344" s="19"/>
      <c r="I344" s="71"/>
    </row>
    <row r="345" ht="15.75" customHeight="1">
      <c r="F345" s="71"/>
      <c r="G345" s="50"/>
      <c r="H345" s="19"/>
      <c r="I345" s="71"/>
    </row>
    <row r="346" ht="15.75" customHeight="1">
      <c r="F346" s="71"/>
      <c r="G346" s="50"/>
      <c r="H346" s="19"/>
      <c r="I346" s="71"/>
    </row>
    <row r="347" ht="15.75" customHeight="1">
      <c r="F347" s="71"/>
      <c r="G347" s="50"/>
      <c r="H347" s="19"/>
      <c r="I347" s="71"/>
    </row>
    <row r="348" ht="15.75" customHeight="1">
      <c r="F348" s="71"/>
      <c r="G348" s="50"/>
      <c r="H348" s="19"/>
      <c r="I348" s="71"/>
    </row>
    <row r="349" ht="15.75" customHeight="1">
      <c r="F349" s="71"/>
      <c r="G349" s="50"/>
      <c r="H349" s="19"/>
      <c r="I349" s="71"/>
    </row>
    <row r="350" ht="15.75" customHeight="1">
      <c r="F350" s="71"/>
      <c r="G350" s="50"/>
      <c r="H350" s="19"/>
      <c r="I350" s="71"/>
    </row>
    <row r="351" ht="15.75" customHeight="1">
      <c r="F351" s="71"/>
      <c r="G351" s="50"/>
      <c r="H351" s="19"/>
      <c r="I351" s="71"/>
    </row>
    <row r="352" ht="15.75" customHeight="1">
      <c r="F352" s="71"/>
      <c r="G352" s="50"/>
      <c r="H352" s="19"/>
      <c r="I352" s="71"/>
    </row>
    <row r="353" ht="15.75" customHeight="1">
      <c r="F353" s="71"/>
      <c r="G353" s="50"/>
      <c r="H353" s="19"/>
      <c r="I353" s="71"/>
    </row>
    <row r="354" ht="15.75" customHeight="1">
      <c r="F354" s="71"/>
      <c r="G354" s="50"/>
      <c r="H354" s="19"/>
      <c r="I354" s="71"/>
    </row>
    <row r="355" ht="15.75" customHeight="1">
      <c r="F355" s="71"/>
      <c r="G355" s="50"/>
      <c r="H355" s="19"/>
      <c r="I355" s="71"/>
    </row>
    <row r="356" ht="15.75" customHeight="1">
      <c r="F356" s="71"/>
      <c r="G356" s="50"/>
      <c r="H356" s="19"/>
      <c r="I356" s="71"/>
    </row>
    <row r="357" ht="15.75" customHeight="1">
      <c r="F357" s="71"/>
      <c r="G357" s="50"/>
      <c r="H357" s="19"/>
      <c r="I357" s="71"/>
    </row>
    <row r="358" ht="15.75" customHeight="1">
      <c r="F358" s="71"/>
      <c r="G358" s="50"/>
      <c r="H358" s="19"/>
      <c r="I358" s="71"/>
    </row>
    <row r="359" ht="15.75" customHeight="1">
      <c r="F359" s="71"/>
      <c r="G359" s="50"/>
      <c r="H359" s="19"/>
      <c r="I359" s="71"/>
    </row>
    <row r="360" ht="15.75" customHeight="1">
      <c r="F360" s="71"/>
      <c r="G360" s="50"/>
      <c r="H360" s="19"/>
      <c r="I360" s="71"/>
    </row>
    <row r="361" ht="15.75" customHeight="1">
      <c r="F361" s="71"/>
      <c r="G361" s="50"/>
      <c r="H361" s="19"/>
      <c r="I361" s="71"/>
    </row>
    <row r="362" ht="15.75" customHeight="1">
      <c r="F362" s="71"/>
      <c r="G362" s="50"/>
      <c r="H362" s="19"/>
      <c r="I362" s="71"/>
    </row>
    <row r="363" ht="15.75" customHeight="1">
      <c r="F363" s="71"/>
      <c r="G363" s="50"/>
      <c r="H363" s="19"/>
      <c r="I363" s="71"/>
    </row>
    <row r="364" ht="15.75" customHeight="1">
      <c r="F364" s="71"/>
      <c r="G364" s="50"/>
      <c r="H364" s="19"/>
      <c r="I364" s="71"/>
    </row>
    <row r="365" ht="15.75" customHeight="1">
      <c r="F365" s="71"/>
      <c r="G365" s="50"/>
      <c r="H365" s="19"/>
      <c r="I365" s="71"/>
    </row>
    <row r="366" ht="15.75" customHeight="1">
      <c r="F366" s="71"/>
      <c r="G366" s="50"/>
      <c r="H366" s="19"/>
      <c r="I366" s="71"/>
    </row>
    <row r="367" ht="15.75" customHeight="1">
      <c r="F367" s="71"/>
      <c r="G367" s="50"/>
      <c r="H367" s="19"/>
      <c r="I367" s="7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52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13"/>
    <col customWidth="1" min="2" max="2" width="33.5"/>
    <col customWidth="1" min="3" max="3" width="18.88"/>
    <col customWidth="1" min="4" max="11" width="14.63"/>
  </cols>
  <sheetData>
    <row r="1" ht="15.0" customHeight="1">
      <c r="A1" s="196" t="s">
        <v>267</v>
      </c>
      <c r="B1" s="196" t="s">
        <v>1</v>
      </c>
      <c r="C1" s="196" t="s">
        <v>61</v>
      </c>
      <c r="D1" s="196" t="s">
        <v>248</v>
      </c>
      <c r="E1" s="196" t="s">
        <v>63</v>
      </c>
      <c r="F1" s="197" t="s">
        <v>249</v>
      </c>
      <c r="G1" s="198" t="s">
        <v>250</v>
      </c>
      <c r="H1" s="199" t="s">
        <v>251</v>
      </c>
      <c r="I1" s="200" t="s">
        <v>252</v>
      </c>
      <c r="J1" s="23" t="s">
        <v>343</v>
      </c>
    </row>
    <row r="2" ht="15.0" customHeight="1">
      <c r="A2" s="65" t="s">
        <v>344</v>
      </c>
      <c r="B2" s="65" t="s">
        <v>345</v>
      </c>
      <c r="C2" s="65" t="s">
        <v>69</v>
      </c>
      <c r="D2" s="65" t="s">
        <v>253</v>
      </c>
      <c r="E2" s="68">
        <v>-49.0</v>
      </c>
      <c r="F2" s="218">
        <v>86.01</v>
      </c>
      <c r="G2" s="219">
        <v>45307.0</v>
      </c>
      <c r="H2" s="67">
        <v>0.0508246792913869</v>
      </c>
      <c r="I2" s="218">
        <f t="shared" ref="I2:I167" si="1">F2*E2*-1</f>
        <v>4214.49</v>
      </c>
    </row>
    <row r="3" ht="15.0" customHeight="1">
      <c r="A3" s="65" t="s">
        <v>346</v>
      </c>
      <c r="B3" s="65" t="s">
        <v>347</v>
      </c>
      <c r="C3" s="65" t="s">
        <v>69</v>
      </c>
      <c r="D3" s="65" t="s">
        <v>253</v>
      </c>
      <c r="E3" s="68">
        <v>-12.0</v>
      </c>
      <c r="F3" s="218">
        <v>376.24</v>
      </c>
      <c r="G3" s="219">
        <v>45307.0</v>
      </c>
      <c r="H3" s="67">
        <v>0.11590936054098933</v>
      </c>
      <c r="I3" s="218">
        <f t="shared" si="1"/>
        <v>4514.88</v>
      </c>
    </row>
    <row r="4" ht="15.0" customHeight="1">
      <c r="A4" s="65" t="s">
        <v>348</v>
      </c>
      <c r="B4" s="65" t="s">
        <v>349</v>
      </c>
      <c r="C4" s="65" t="s">
        <v>69</v>
      </c>
      <c r="D4" s="65" t="s">
        <v>253</v>
      </c>
      <c r="E4" s="68">
        <v>-16.0</v>
      </c>
      <c r="F4" s="218">
        <v>279.9299</v>
      </c>
      <c r="G4" s="219">
        <v>45307.0</v>
      </c>
      <c r="H4" s="67">
        <v>0.1282036917620506</v>
      </c>
      <c r="I4" s="218">
        <f t="shared" si="1"/>
        <v>4478.8784</v>
      </c>
    </row>
    <row r="5" ht="15.0" customHeight="1">
      <c r="A5" s="65" t="s">
        <v>350</v>
      </c>
      <c r="B5" s="65" t="s">
        <v>351</v>
      </c>
      <c r="C5" s="65" t="s">
        <v>69</v>
      </c>
      <c r="D5" s="65" t="s">
        <v>253</v>
      </c>
      <c r="E5" s="68">
        <v>-142.0</v>
      </c>
      <c r="F5" s="218">
        <v>29.0345</v>
      </c>
      <c r="G5" s="219">
        <v>45307.0</v>
      </c>
      <c r="H5" s="67">
        <v>0.01590272918124569</v>
      </c>
      <c r="I5" s="218">
        <f t="shared" si="1"/>
        <v>4122.899</v>
      </c>
    </row>
    <row r="6" ht="15.0" customHeight="1">
      <c r="A6" s="65" t="s">
        <v>352</v>
      </c>
      <c r="B6" s="65" t="s">
        <v>353</v>
      </c>
      <c r="C6" s="65" t="s">
        <v>69</v>
      </c>
      <c r="D6" s="65" t="s">
        <v>253</v>
      </c>
      <c r="E6" s="68">
        <v>-288.0</v>
      </c>
      <c r="F6" s="218">
        <v>13.2446</v>
      </c>
      <c r="G6" s="219">
        <v>45307.0</v>
      </c>
      <c r="H6" s="67">
        <v>-0.05665242165242157</v>
      </c>
      <c r="I6" s="218">
        <f t="shared" si="1"/>
        <v>3814.4448</v>
      </c>
    </row>
    <row r="7" ht="15.0" customHeight="1">
      <c r="A7" s="65" t="s">
        <v>354</v>
      </c>
      <c r="B7" s="65" t="s">
        <v>355</v>
      </c>
      <c r="C7" s="65" t="s">
        <v>69</v>
      </c>
      <c r="D7" s="65" t="s">
        <v>253</v>
      </c>
      <c r="E7" s="68">
        <v>-77.0</v>
      </c>
      <c r="F7" s="218">
        <v>24.965</v>
      </c>
      <c r="G7" s="219">
        <v>45307.0</v>
      </c>
      <c r="H7" s="67">
        <v>-0.058634992458521884</v>
      </c>
      <c r="I7" s="218">
        <f t="shared" si="1"/>
        <v>1922.305</v>
      </c>
    </row>
    <row r="8" ht="15.0" customHeight="1">
      <c r="A8" s="65" t="s">
        <v>356</v>
      </c>
      <c r="B8" s="65" t="s">
        <v>357</v>
      </c>
      <c r="C8" s="65" t="s">
        <v>69</v>
      </c>
      <c r="D8" s="65" t="s">
        <v>253</v>
      </c>
      <c r="E8" s="68">
        <v>-79.0</v>
      </c>
      <c r="F8" s="218">
        <v>22.7255</v>
      </c>
      <c r="G8" s="219">
        <v>45307.0</v>
      </c>
      <c r="H8" s="67">
        <v>-0.10915327322618584</v>
      </c>
      <c r="I8" s="218">
        <f t="shared" si="1"/>
        <v>1795.3145</v>
      </c>
    </row>
    <row r="9" ht="15.0" customHeight="1">
      <c r="A9" s="65" t="s">
        <v>358</v>
      </c>
      <c r="B9" s="65" t="s">
        <v>359</v>
      </c>
      <c r="C9" s="65" t="s">
        <v>69</v>
      </c>
      <c r="D9" s="65" t="s">
        <v>253</v>
      </c>
      <c r="E9" s="68">
        <v>-7.0</v>
      </c>
      <c r="F9" s="218">
        <v>327.23</v>
      </c>
      <c r="G9" s="219">
        <v>45307.0</v>
      </c>
      <c r="H9" s="67">
        <v>0.10869049635778438</v>
      </c>
      <c r="I9" s="218">
        <f t="shared" si="1"/>
        <v>2290.61</v>
      </c>
    </row>
    <row r="10" ht="15.0" customHeight="1">
      <c r="A10" s="65" t="s">
        <v>302</v>
      </c>
      <c r="B10" s="65" t="s">
        <v>303</v>
      </c>
      <c r="C10" s="65" t="s">
        <v>69</v>
      </c>
      <c r="D10" s="65" t="s">
        <v>253</v>
      </c>
      <c r="E10" s="68">
        <v>-17.0</v>
      </c>
      <c r="F10" s="218">
        <v>111.8134</v>
      </c>
      <c r="G10" s="219">
        <v>45307.0</v>
      </c>
      <c r="H10" s="67">
        <v>-0.03442659758203792</v>
      </c>
      <c r="I10" s="218">
        <f t="shared" si="1"/>
        <v>1900.8278</v>
      </c>
    </row>
    <row r="11" ht="15.0" customHeight="1">
      <c r="A11" s="65" t="s">
        <v>256</v>
      </c>
      <c r="B11" s="65" t="s">
        <v>320</v>
      </c>
      <c r="C11" s="65" t="s">
        <v>69</v>
      </c>
      <c r="D11" s="65" t="s">
        <v>253</v>
      </c>
      <c r="E11" s="68">
        <v>-8.0</v>
      </c>
      <c r="F11" s="218">
        <v>296.9701</v>
      </c>
      <c r="G11" s="219">
        <v>45307.0</v>
      </c>
      <c r="H11" s="67">
        <v>0.156065478044223</v>
      </c>
      <c r="I11" s="218">
        <f t="shared" si="1"/>
        <v>2375.7608</v>
      </c>
    </row>
    <row r="12" ht="15.0" customHeight="1">
      <c r="A12" s="65" t="s">
        <v>360</v>
      </c>
      <c r="B12" s="65" t="s">
        <v>361</v>
      </c>
      <c r="C12" s="65" t="s">
        <v>69</v>
      </c>
      <c r="D12" s="65" t="s">
        <v>253</v>
      </c>
      <c r="E12" s="68">
        <v>-34.0</v>
      </c>
      <c r="F12" s="218">
        <v>56.43</v>
      </c>
      <c r="G12" s="219">
        <v>45307.0</v>
      </c>
      <c r="H12" s="67">
        <v>-0.057457825288124265</v>
      </c>
      <c r="I12" s="218">
        <f t="shared" si="1"/>
        <v>1918.62</v>
      </c>
    </row>
    <row r="13" ht="15.0" customHeight="1">
      <c r="A13" s="65" t="s">
        <v>362</v>
      </c>
      <c r="B13" s="65" t="s">
        <v>363</v>
      </c>
      <c r="C13" s="65" t="s">
        <v>69</v>
      </c>
      <c r="D13" s="65" t="s">
        <v>253</v>
      </c>
      <c r="E13" s="68">
        <v>-7.0</v>
      </c>
      <c r="F13" s="218">
        <v>284.4186</v>
      </c>
      <c r="G13" s="219">
        <v>45307.0</v>
      </c>
      <c r="H13" s="67">
        <v>0.04053047486646677</v>
      </c>
      <c r="I13" s="218">
        <f t="shared" si="1"/>
        <v>1990.9302</v>
      </c>
    </row>
    <row r="14" ht="15.0" customHeight="1">
      <c r="A14" s="65" t="s">
        <v>142</v>
      </c>
      <c r="B14" s="65" t="s">
        <v>364</v>
      </c>
      <c r="C14" s="65" t="s">
        <v>69</v>
      </c>
      <c r="D14" s="65" t="s">
        <v>253</v>
      </c>
      <c r="E14" s="68">
        <v>-27.0</v>
      </c>
      <c r="F14" s="218">
        <v>74.76</v>
      </c>
      <c r="G14" s="219">
        <v>45307.0</v>
      </c>
      <c r="H14" s="67">
        <v>0.00890688259109318</v>
      </c>
      <c r="I14" s="218">
        <f t="shared" si="1"/>
        <v>2018.52</v>
      </c>
    </row>
    <row r="15" ht="15.0" customHeight="1">
      <c r="A15" s="65" t="s">
        <v>365</v>
      </c>
      <c r="B15" s="65" t="s">
        <v>366</v>
      </c>
      <c r="C15" s="65" t="s">
        <v>69</v>
      </c>
      <c r="D15" s="65" t="s">
        <v>253</v>
      </c>
      <c r="E15" s="68">
        <v>-9.0</v>
      </c>
      <c r="F15" s="218">
        <v>221.195</v>
      </c>
      <c r="G15" s="219">
        <v>45307.0</v>
      </c>
      <c r="H15" s="67">
        <v>0.031596865963996024</v>
      </c>
      <c r="I15" s="218">
        <f t="shared" si="1"/>
        <v>1990.755</v>
      </c>
    </row>
    <row r="16" ht="15.0" customHeight="1">
      <c r="A16" s="65" t="s">
        <v>367</v>
      </c>
      <c r="B16" s="65" t="s">
        <v>368</v>
      </c>
      <c r="C16" s="65" t="s">
        <v>69</v>
      </c>
      <c r="D16" s="65" t="s">
        <v>253</v>
      </c>
      <c r="E16" s="68">
        <v>-15.0</v>
      </c>
      <c r="F16" s="218">
        <v>133.57</v>
      </c>
      <c r="G16" s="219">
        <v>45307.0</v>
      </c>
      <c r="H16" s="67">
        <v>-0.02168021680216803</v>
      </c>
      <c r="I16" s="218">
        <f t="shared" si="1"/>
        <v>2003.55</v>
      </c>
    </row>
    <row r="17" ht="15.0" customHeight="1">
      <c r="A17" s="18" t="s">
        <v>150</v>
      </c>
      <c r="B17" s="23" t="s">
        <v>369</v>
      </c>
      <c r="C17" s="23" t="s">
        <v>69</v>
      </c>
      <c r="D17" s="23" t="s">
        <v>264</v>
      </c>
      <c r="E17" s="39">
        <v>251.0</v>
      </c>
      <c r="F17" s="71">
        <v>16.71</v>
      </c>
      <c r="G17" s="50">
        <v>45307.0</v>
      </c>
      <c r="H17" s="19" t="s">
        <v>278</v>
      </c>
      <c r="I17" s="71">
        <f t="shared" si="1"/>
        <v>-4194.21</v>
      </c>
    </row>
    <row r="18" ht="15.0" customHeight="1">
      <c r="A18" s="18" t="s">
        <v>348</v>
      </c>
      <c r="B18" s="23" t="s">
        <v>349</v>
      </c>
      <c r="C18" s="23" t="s">
        <v>69</v>
      </c>
      <c r="D18" s="23" t="s">
        <v>264</v>
      </c>
      <c r="E18" s="39">
        <v>15.0</v>
      </c>
      <c r="F18" s="71">
        <v>280.04</v>
      </c>
      <c r="G18" s="50">
        <v>45307.0</v>
      </c>
      <c r="H18" s="19" t="s">
        <v>278</v>
      </c>
      <c r="I18" s="71">
        <f t="shared" si="1"/>
        <v>-4200.6</v>
      </c>
    </row>
    <row r="19" ht="15.0" customHeight="1">
      <c r="A19" s="18" t="s">
        <v>370</v>
      </c>
      <c r="B19" s="23" t="s">
        <v>371</v>
      </c>
      <c r="C19" s="23" t="s">
        <v>69</v>
      </c>
      <c r="D19" s="23" t="s">
        <v>264</v>
      </c>
      <c r="E19" s="39">
        <v>116.0</v>
      </c>
      <c r="F19" s="71">
        <v>35.98</v>
      </c>
      <c r="G19" s="50">
        <v>45307.0</v>
      </c>
      <c r="H19" s="19" t="s">
        <v>278</v>
      </c>
      <c r="I19" s="71">
        <f t="shared" si="1"/>
        <v>-4173.68</v>
      </c>
    </row>
    <row r="20" ht="15.0" customHeight="1">
      <c r="A20" s="18" t="s">
        <v>372</v>
      </c>
      <c r="B20" s="23" t="s">
        <v>373</v>
      </c>
      <c r="C20" s="23" t="s">
        <v>69</v>
      </c>
      <c r="D20" s="23" t="s">
        <v>264</v>
      </c>
      <c r="E20" s="39">
        <v>113.0</v>
      </c>
      <c r="F20" s="71">
        <v>37.28</v>
      </c>
      <c r="G20" s="50">
        <v>45307.0</v>
      </c>
      <c r="H20" s="19" t="s">
        <v>278</v>
      </c>
      <c r="I20" s="71">
        <f t="shared" si="1"/>
        <v>-4212.64</v>
      </c>
    </row>
    <row r="21" ht="15.0" customHeight="1">
      <c r="A21" s="18" t="s">
        <v>374</v>
      </c>
      <c r="B21" s="23" t="s">
        <v>375</v>
      </c>
      <c r="C21" s="23" t="s">
        <v>69</v>
      </c>
      <c r="D21" s="23" t="s">
        <v>264</v>
      </c>
      <c r="E21" s="39">
        <v>137.0</v>
      </c>
      <c r="F21" s="71">
        <v>30.65</v>
      </c>
      <c r="G21" s="50">
        <v>45307.0</v>
      </c>
      <c r="H21" s="19" t="s">
        <v>278</v>
      </c>
      <c r="I21" s="71">
        <f t="shared" si="1"/>
        <v>-4199.05</v>
      </c>
    </row>
    <row r="22" ht="15.0" customHeight="1">
      <c r="A22" s="23" t="s">
        <v>376</v>
      </c>
      <c r="B22" s="23" t="s">
        <v>377</v>
      </c>
      <c r="C22" s="23" t="s">
        <v>69</v>
      </c>
      <c r="D22" s="23" t="s">
        <v>264</v>
      </c>
      <c r="E22" s="39">
        <v>2.0</v>
      </c>
      <c r="F22" s="71">
        <v>1025.41</v>
      </c>
      <c r="G22" s="50">
        <v>45307.0</v>
      </c>
      <c r="H22" s="19" t="s">
        <v>278</v>
      </c>
      <c r="I22" s="71">
        <f t="shared" si="1"/>
        <v>-2050.82</v>
      </c>
    </row>
    <row r="23" ht="15.0" customHeight="1">
      <c r="A23" s="18" t="s">
        <v>378</v>
      </c>
      <c r="B23" s="23" t="s">
        <v>379</v>
      </c>
      <c r="C23" s="23" t="s">
        <v>69</v>
      </c>
      <c r="D23" s="23" t="s">
        <v>264</v>
      </c>
      <c r="E23" s="39">
        <v>16.0</v>
      </c>
      <c r="F23" s="71">
        <v>130.29</v>
      </c>
      <c r="G23" s="50">
        <v>45307.0</v>
      </c>
      <c r="H23" s="19" t="s">
        <v>278</v>
      </c>
      <c r="I23" s="71">
        <f t="shared" si="1"/>
        <v>-2084.64</v>
      </c>
    </row>
    <row r="24" ht="15.0" customHeight="1">
      <c r="A24" s="18" t="s">
        <v>97</v>
      </c>
      <c r="B24" s="23" t="s">
        <v>162</v>
      </c>
      <c r="C24" s="23" t="s">
        <v>69</v>
      </c>
      <c r="D24" s="23" t="s">
        <v>264</v>
      </c>
      <c r="E24" s="39">
        <v>22.0</v>
      </c>
      <c r="F24" s="71">
        <v>94.32</v>
      </c>
      <c r="G24" s="50">
        <v>45307.0</v>
      </c>
      <c r="H24" s="19" t="s">
        <v>278</v>
      </c>
      <c r="I24" s="71">
        <f t="shared" si="1"/>
        <v>-2075.04</v>
      </c>
    </row>
    <row r="25" ht="15.0" customHeight="1">
      <c r="A25" s="18" t="s">
        <v>380</v>
      </c>
      <c r="B25" s="23" t="s">
        <v>381</v>
      </c>
      <c r="C25" s="23" t="s">
        <v>69</v>
      </c>
      <c r="D25" s="23" t="s">
        <v>264</v>
      </c>
      <c r="E25" s="23">
        <v>14.0</v>
      </c>
      <c r="F25" s="71">
        <v>150.49</v>
      </c>
      <c r="G25" s="50">
        <v>45307.0</v>
      </c>
      <c r="H25" s="19" t="s">
        <v>278</v>
      </c>
      <c r="I25" s="71">
        <f t="shared" si="1"/>
        <v>-2106.86</v>
      </c>
    </row>
    <row r="26" ht="15.0" customHeight="1">
      <c r="A26" s="18" t="s">
        <v>348</v>
      </c>
      <c r="B26" s="23" t="s">
        <v>349</v>
      </c>
      <c r="C26" s="23" t="s">
        <v>69</v>
      </c>
      <c r="D26" s="23" t="s">
        <v>264</v>
      </c>
      <c r="E26" s="23">
        <v>7.0</v>
      </c>
      <c r="F26" s="71">
        <v>280.08</v>
      </c>
      <c r="G26" s="50">
        <v>45307.0</v>
      </c>
      <c r="H26" s="19" t="s">
        <v>278</v>
      </c>
      <c r="I26" s="71">
        <f t="shared" si="1"/>
        <v>-1960.56</v>
      </c>
    </row>
    <row r="27" ht="15.0" customHeight="1">
      <c r="A27" s="18" t="s">
        <v>382</v>
      </c>
      <c r="B27" s="23" t="s">
        <v>383</v>
      </c>
      <c r="C27" s="23" t="s">
        <v>69</v>
      </c>
      <c r="D27" s="23" t="s">
        <v>264</v>
      </c>
      <c r="E27" s="23">
        <v>34.0</v>
      </c>
      <c r="F27" s="71">
        <v>61.25</v>
      </c>
      <c r="G27" s="50">
        <v>45307.0</v>
      </c>
      <c r="H27" s="19" t="s">
        <v>278</v>
      </c>
      <c r="I27" s="71">
        <f t="shared" si="1"/>
        <v>-2082.5</v>
      </c>
    </row>
    <row r="28" ht="15.0" customHeight="1">
      <c r="A28" s="18" t="s">
        <v>384</v>
      </c>
      <c r="B28" s="23" t="s">
        <v>385</v>
      </c>
      <c r="C28" s="23" t="s">
        <v>69</v>
      </c>
      <c r="D28" s="23" t="s">
        <v>264</v>
      </c>
      <c r="E28" s="23">
        <v>20.0</v>
      </c>
      <c r="F28" s="71">
        <v>103.06</v>
      </c>
      <c r="G28" s="50">
        <v>45307.0</v>
      </c>
      <c r="H28" s="19" t="s">
        <v>278</v>
      </c>
      <c r="I28" s="71">
        <f t="shared" si="1"/>
        <v>-2061.2</v>
      </c>
    </row>
    <row r="29" ht="15.0" customHeight="1">
      <c r="A29" s="23" t="s">
        <v>386</v>
      </c>
      <c r="B29" s="23" t="s">
        <v>387</v>
      </c>
      <c r="C29" s="23" t="s">
        <v>69</v>
      </c>
      <c r="D29" s="23" t="s">
        <v>264</v>
      </c>
      <c r="E29" s="23">
        <v>14.0</v>
      </c>
      <c r="F29" s="71">
        <v>152.5</v>
      </c>
      <c r="G29" s="50">
        <v>45307.0</v>
      </c>
      <c r="H29" s="19" t="s">
        <v>278</v>
      </c>
      <c r="I29" s="71">
        <f t="shared" si="1"/>
        <v>-2135</v>
      </c>
    </row>
    <row r="30" ht="15.0" customHeight="1">
      <c r="A30" s="18" t="s">
        <v>388</v>
      </c>
      <c r="B30" s="23" t="s">
        <v>389</v>
      </c>
      <c r="C30" s="23" t="s">
        <v>69</v>
      </c>
      <c r="D30" s="23" t="s">
        <v>264</v>
      </c>
      <c r="E30" s="23">
        <v>18.0</v>
      </c>
      <c r="F30" s="71">
        <v>114.38</v>
      </c>
      <c r="G30" s="50">
        <v>45307.0</v>
      </c>
      <c r="H30" s="19" t="s">
        <v>278</v>
      </c>
      <c r="I30" s="71">
        <f t="shared" si="1"/>
        <v>-2058.84</v>
      </c>
    </row>
    <row r="31" ht="15.0" customHeight="1">
      <c r="A31" s="18" t="s">
        <v>390</v>
      </c>
      <c r="B31" s="23" t="s">
        <v>391</v>
      </c>
      <c r="C31" s="23" t="s">
        <v>69</v>
      </c>
      <c r="D31" s="23" t="s">
        <v>264</v>
      </c>
      <c r="E31" s="23">
        <v>23.0</v>
      </c>
      <c r="F31" s="71">
        <v>92.09</v>
      </c>
      <c r="G31" s="50">
        <v>45307.0</v>
      </c>
      <c r="H31" s="19" t="s">
        <v>278</v>
      </c>
      <c r="I31" s="71">
        <f t="shared" si="1"/>
        <v>-2118.07</v>
      </c>
    </row>
    <row r="32" ht="15.0" customHeight="1">
      <c r="A32" s="65" t="s">
        <v>99</v>
      </c>
      <c r="B32" s="65" t="s">
        <v>170</v>
      </c>
      <c r="C32" s="65" t="s">
        <v>77</v>
      </c>
      <c r="D32" s="65" t="s">
        <v>261</v>
      </c>
      <c r="E32" s="65">
        <v>-72.0</v>
      </c>
      <c r="F32" s="218">
        <v>152.524</v>
      </c>
      <c r="G32" s="219">
        <v>45315.0</v>
      </c>
      <c r="H32" s="67">
        <v>0.8921225654385312</v>
      </c>
      <c r="I32" s="218">
        <f t="shared" si="1"/>
        <v>10981.728</v>
      </c>
    </row>
    <row r="33" ht="15.0" customHeight="1">
      <c r="A33" s="65" t="s">
        <v>100</v>
      </c>
      <c r="B33" s="65" t="s">
        <v>392</v>
      </c>
      <c r="C33" s="65" t="s">
        <v>77</v>
      </c>
      <c r="D33" s="65" t="s">
        <v>261</v>
      </c>
      <c r="E33" s="65">
        <v>-173.0</v>
      </c>
      <c r="F33" s="218">
        <v>63.97</v>
      </c>
      <c r="G33" s="219">
        <v>45315.0</v>
      </c>
      <c r="H33" s="67">
        <v>0.2506353861192572</v>
      </c>
      <c r="I33" s="218">
        <f t="shared" si="1"/>
        <v>11066.81</v>
      </c>
    </row>
    <row r="34" ht="15.0" customHeight="1">
      <c r="A34" s="65" t="s">
        <v>111</v>
      </c>
      <c r="B34" s="65" t="s">
        <v>393</v>
      </c>
      <c r="C34" s="65" t="s">
        <v>81</v>
      </c>
      <c r="D34" s="65" t="s">
        <v>261</v>
      </c>
      <c r="E34" s="65">
        <v>-138.0</v>
      </c>
      <c r="F34" s="218">
        <v>118.86</v>
      </c>
      <c r="G34" s="219">
        <v>45315.0</v>
      </c>
      <c r="H34" s="67">
        <v>0.5386407766990291</v>
      </c>
      <c r="I34" s="218">
        <f t="shared" si="1"/>
        <v>16402.68</v>
      </c>
    </row>
    <row r="35" ht="15.0" customHeight="1">
      <c r="A35" s="65" t="s">
        <v>130</v>
      </c>
      <c r="B35" s="65" t="s">
        <v>213</v>
      </c>
      <c r="C35" s="65" t="s">
        <v>89</v>
      </c>
      <c r="D35" s="65" t="s">
        <v>261</v>
      </c>
      <c r="E35" s="65">
        <v>-63.0</v>
      </c>
      <c r="F35" s="218">
        <v>149.23</v>
      </c>
      <c r="G35" s="219">
        <v>45315.0</v>
      </c>
      <c r="H35" s="67">
        <v>9.774729241877257</v>
      </c>
      <c r="I35" s="218">
        <f t="shared" si="1"/>
        <v>9401.49</v>
      </c>
    </row>
    <row r="36" ht="15.0" customHeight="1">
      <c r="A36" s="65" t="s">
        <v>132</v>
      </c>
      <c r="B36" s="65" t="s">
        <v>222</v>
      </c>
      <c r="C36" s="65" t="s">
        <v>89</v>
      </c>
      <c r="D36" s="65" t="s">
        <v>261</v>
      </c>
      <c r="E36" s="65">
        <v>-27.0</v>
      </c>
      <c r="F36" s="218">
        <v>394.57</v>
      </c>
      <c r="G36" s="219">
        <v>45315.0</v>
      </c>
      <c r="H36" s="67">
        <v>0.6895178556135995</v>
      </c>
      <c r="I36" s="218">
        <f t="shared" si="1"/>
        <v>10653.39</v>
      </c>
    </row>
    <row r="37" ht="15.0" customHeight="1">
      <c r="A37" s="23" t="s">
        <v>80</v>
      </c>
      <c r="B37" s="23" t="s">
        <v>200</v>
      </c>
      <c r="C37" s="23" t="s">
        <v>81</v>
      </c>
      <c r="D37" s="23" t="s">
        <v>264</v>
      </c>
      <c r="E37" s="23">
        <v>200.0</v>
      </c>
      <c r="F37" s="71">
        <v>139.3099</v>
      </c>
      <c r="G37" s="50">
        <v>45317.0</v>
      </c>
      <c r="H37" s="19" t="s">
        <v>278</v>
      </c>
      <c r="I37" s="71">
        <f t="shared" si="1"/>
        <v>-27861.98</v>
      </c>
      <c r="K37" s="11"/>
    </row>
    <row r="38" ht="15.0" customHeight="1">
      <c r="A38" s="65" t="s">
        <v>92</v>
      </c>
      <c r="B38" s="65" t="s">
        <v>156</v>
      </c>
      <c r="C38" s="65" t="s">
        <v>72</v>
      </c>
      <c r="D38" s="65" t="s">
        <v>260</v>
      </c>
      <c r="E38" s="65">
        <v>27.0</v>
      </c>
      <c r="F38" s="218">
        <v>157.79</v>
      </c>
      <c r="G38" s="219">
        <v>45315.0</v>
      </c>
      <c r="H38" s="67" t="s">
        <v>278</v>
      </c>
      <c r="I38" s="218">
        <f t="shared" si="1"/>
        <v>-4260.33</v>
      </c>
      <c r="K38" s="135"/>
    </row>
    <row r="39" ht="15.0" customHeight="1">
      <c r="A39" s="65" t="s">
        <v>266</v>
      </c>
      <c r="B39" s="65" t="s">
        <v>338</v>
      </c>
      <c r="C39" s="65" t="s">
        <v>79</v>
      </c>
      <c r="D39" s="65" t="s">
        <v>260</v>
      </c>
      <c r="E39" s="65">
        <v>89.0</v>
      </c>
      <c r="F39" s="218">
        <v>123.0925</v>
      </c>
      <c r="G39" s="219">
        <v>45315.0</v>
      </c>
      <c r="H39" s="67" t="s">
        <v>278</v>
      </c>
      <c r="I39" s="218">
        <f t="shared" si="1"/>
        <v>-10955.2325</v>
      </c>
    </row>
    <row r="40" ht="15.0" customHeight="1">
      <c r="A40" s="65" t="s">
        <v>106</v>
      </c>
      <c r="B40" s="65" t="s">
        <v>180</v>
      </c>
      <c r="C40" s="65" t="s">
        <v>79</v>
      </c>
      <c r="D40" s="65" t="s">
        <v>260</v>
      </c>
      <c r="E40" s="65">
        <v>132.0</v>
      </c>
      <c r="F40" s="218">
        <v>80.4</v>
      </c>
      <c r="G40" s="219">
        <v>45315.0</v>
      </c>
      <c r="H40" s="67" t="s">
        <v>278</v>
      </c>
      <c r="I40" s="218">
        <f t="shared" si="1"/>
        <v>-10612.8</v>
      </c>
    </row>
    <row r="41" ht="15.0" customHeight="1">
      <c r="A41" s="65" t="s">
        <v>101</v>
      </c>
      <c r="B41" s="65" t="s">
        <v>394</v>
      </c>
      <c r="C41" s="65" t="s">
        <v>79</v>
      </c>
      <c r="D41" s="65" t="s">
        <v>260</v>
      </c>
      <c r="E41" s="65">
        <v>42.0</v>
      </c>
      <c r="F41" s="218">
        <v>126.85</v>
      </c>
      <c r="G41" s="219">
        <v>45315.0</v>
      </c>
      <c r="H41" s="67" t="s">
        <v>278</v>
      </c>
      <c r="I41" s="218">
        <f t="shared" si="1"/>
        <v>-5327.7</v>
      </c>
    </row>
    <row r="42" ht="15.0" customHeight="1">
      <c r="A42" s="65" t="s">
        <v>329</v>
      </c>
      <c r="B42" s="65" t="s">
        <v>330</v>
      </c>
      <c r="C42" s="65" t="s">
        <v>83</v>
      </c>
      <c r="D42" s="65" t="s">
        <v>260</v>
      </c>
      <c r="E42" s="65">
        <v>136.0</v>
      </c>
      <c r="F42" s="218">
        <v>154.37</v>
      </c>
      <c r="G42" s="219">
        <v>45315.0</v>
      </c>
      <c r="H42" s="67" t="s">
        <v>278</v>
      </c>
      <c r="I42" s="218">
        <f t="shared" si="1"/>
        <v>-20994.32</v>
      </c>
    </row>
    <row r="43" ht="15.0" customHeight="1">
      <c r="A43" s="65" t="s">
        <v>271</v>
      </c>
      <c r="B43" s="65" t="s">
        <v>395</v>
      </c>
      <c r="C43" s="65" t="s">
        <v>85</v>
      </c>
      <c r="D43" s="65" t="s">
        <v>260</v>
      </c>
      <c r="E43" s="65">
        <v>121.0</v>
      </c>
      <c r="F43" s="218">
        <v>30.65</v>
      </c>
      <c r="G43" s="219">
        <v>45315.0</v>
      </c>
      <c r="H43" s="67" t="s">
        <v>278</v>
      </c>
      <c r="I43" s="218">
        <f t="shared" si="1"/>
        <v>-3708.65</v>
      </c>
    </row>
    <row r="44" ht="15.0" customHeight="1">
      <c r="A44" s="65" t="s">
        <v>123</v>
      </c>
      <c r="B44" s="65" t="s">
        <v>311</v>
      </c>
      <c r="C44" s="65" t="s">
        <v>87</v>
      </c>
      <c r="D44" s="65" t="s">
        <v>260</v>
      </c>
      <c r="E44" s="65">
        <v>24.0</v>
      </c>
      <c r="F44" s="218">
        <v>405.24</v>
      </c>
      <c r="G44" s="219">
        <v>45315.0</v>
      </c>
      <c r="H44" s="67" t="s">
        <v>278</v>
      </c>
      <c r="I44" s="218">
        <f t="shared" si="1"/>
        <v>-9725.76</v>
      </c>
    </row>
    <row r="45" ht="15.0" customHeight="1">
      <c r="A45" s="65" t="s">
        <v>126</v>
      </c>
      <c r="B45" s="65" t="s">
        <v>216</v>
      </c>
      <c r="C45" s="65" t="s">
        <v>87</v>
      </c>
      <c r="D45" s="65" t="s">
        <v>260</v>
      </c>
      <c r="E45" s="65">
        <v>32.0</v>
      </c>
      <c r="F45" s="218">
        <v>551.345</v>
      </c>
      <c r="G45" s="219">
        <v>45315.0</v>
      </c>
      <c r="H45" s="67" t="s">
        <v>278</v>
      </c>
      <c r="I45" s="218">
        <f t="shared" si="1"/>
        <v>-17643.04</v>
      </c>
    </row>
    <row r="46" ht="15.0" customHeight="1">
      <c r="A46" s="65" t="s">
        <v>124</v>
      </c>
      <c r="B46" s="65" t="s">
        <v>215</v>
      </c>
      <c r="C46" s="65" t="s">
        <v>87</v>
      </c>
      <c r="D46" s="65" t="s">
        <v>260</v>
      </c>
      <c r="E46" s="65">
        <v>99.0</v>
      </c>
      <c r="F46" s="218">
        <v>175.36</v>
      </c>
      <c r="G46" s="219">
        <v>45315.0</v>
      </c>
      <c r="H46" s="67" t="s">
        <v>278</v>
      </c>
      <c r="I46" s="218">
        <f t="shared" si="1"/>
        <v>-17360.64</v>
      </c>
    </row>
    <row r="47" ht="15.0" customHeight="1">
      <c r="A47" s="65" t="s">
        <v>128</v>
      </c>
      <c r="B47" s="65" t="s">
        <v>217</v>
      </c>
      <c r="C47" s="65" t="s">
        <v>87</v>
      </c>
      <c r="D47" s="65" t="s">
        <v>260</v>
      </c>
      <c r="E47" s="65">
        <v>6.0</v>
      </c>
      <c r="F47" s="218">
        <v>2740.0</v>
      </c>
      <c r="G47" s="219">
        <v>45315.0</v>
      </c>
      <c r="H47" s="67" t="s">
        <v>278</v>
      </c>
      <c r="I47" s="218">
        <f t="shared" si="1"/>
        <v>-16440</v>
      </c>
    </row>
    <row r="48" ht="15.0" customHeight="1">
      <c r="A48" s="23" t="s">
        <v>78</v>
      </c>
      <c r="B48" s="23" t="s">
        <v>191</v>
      </c>
      <c r="C48" s="23" t="s">
        <v>79</v>
      </c>
      <c r="D48" s="23" t="s">
        <v>264</v>
      </c>
      <c r="E48" s="23">
        <v>471.0</v>
      </c>
      <c r="F48" s="71">
        <v>38.685</v>
      </c>
      <c r="G48" s="50">
        <v>45317.0</v>
      </c>
      <c r="H48" s="19" t="s">
        <v>278</v>
      </c>
      <c r="I48" s="71">
        <f t="shared" si="1"/>
        <v>-18220.635</v>
      </c>
    </row>
    <row r="49" ht="15.0" customHeight="1">
      <c r="A49" s="23" t="s">
        <v>47</v>
      </c>
      <c r="B49" s="23" t="s">
        <v>48</v>
      </c>
      <c r="C49" s="23" t="s">
        <v>17</v>
      </c>
      <c r="D49" s="23" t="s">
        <v>264</v>
      </c>
      <c r="E49" s="23">
        <v>22.0</v>
      </c>
      <c r="F49" s="71">
        <v>961.68</v>
      </c>
      <c r="G49" s="50">
        <v>45359.0</v>
      </c>
      <c r="H49" s="19" t="s">
        <v>278</v>
      </c>
      <c r="I49" s="71">
        <f t="shared" si="1"/>
        <v>-21156.96</v>
      </c>
    </row>
    <row r="50" ht="15.75" customHeight="1">
      <c r="A50" s="65" t="s">
        <v>183</v>
      </c>
      <c r="B50" s="65" t="s">
        <v>184</v>
      </c>
      <c r="C50" s="65" t="s">
        <v>79</v>
      </c>
      <c r="D50" s="65" t="s">
        <v>264</v>
      </c>
      <c r="E50" s="65">
        <v>90.0</v>
      </c>
      <c r="F50" s="218">
        <v>430.58</v>
      </c>
      <c r="G50" s="219">
        <v>45372.0</v>
      </c>
      <c r="H50" s="67" t="s">
        <v>278</v>
      </c>
      <c r="I50" s="218">
        <f t="shared" si="1"/>
        <v>-38752.2</v>
      </c>
    </row>
    <row r="51" ht="15.75" customHeight="1">
      <c r="A51" s="65" t="s">
        <v>203</v>
      </c>
      <c r="B51" s="65" t="s">
        <v>204</v>
      </c>
      <c r="C51" s="65" t="s">
        <v>83</v>
      </c>
      <c r="D51" s="65" t="s">
        <v>264</v>
      </c>
      <c r="E51" s="65">
        <v>130.0</v>
      </c>
      <c r="F51" s="218">
        <v>176.82</v>
      </c>
      <c r="G51" s="219">
        <v>45372.0</v>
      </c>
      <c r="H51" s="67" t="s">
        <v>278</v>
      </c>
      <c r="I51" s="218">
        <f t="shared" si="1"/>
        <v>-22986.6</v>
      </c>
    </row>
    <row r="52" ht="15.75" customHeight="1">
      <c r="A52" s="65" t="s">
        <v>86</v>
      </c>
      <c r="B52" s="65" t="s">
        <v>221</v>
      </c>
      <c r="C52" s="65" t="s">
        <v>87</v>
      </c>
      <c r="D52" s="65" t="s">
        <v>253</v>
      </c>
      <c r="E52" s="65">
        <v>-252.0</v>
      </c>
      <c r="F52" s="218">
        <v>204.91</v>
      </c>
      <c r="G52" s="219">
        <v>45315.0</v>
      </c>
      <c r="H52" s="67">
        <v>0.42645318482422545</v>
      </c>
      <c r="I52" s="218">
        <f t="shared" si="1"/>
        <v>51637.32</v>
      </c>
    </row>
    <row r="53" ht="15.75" customHeight="1">
      <c r="A53" s="23" t="s">
        <v>111</v>
      </c>
      <c r="B53" s="23" t="s">
        <v>393</v>
      </c>
      <c r="C53" s="23" t="s">
        <v>81</v>
      </c>
      <c r="D53" s="23" t="s">
        <v>253</v>
      </c>
      <c r="E53" s="23">
        <v>-230.0</v>
      </c>
      <c r="F53" s="71">
        <v>120.84</v>
      </c>
      <c r="G53" s="50">
        <v>45317.0</v>
      </c>
      <c r="H53" s="19">
        <v>0.5642718446601942</v>
      </c>
      <c r="I53" s="71">
        <f t="shared" si="1"/>
        <v>27793.2</v>
      </c>
    </row>
    <row r="54" ht="15.75" customHeight="1">
      <c r="A54" s="65" t="s">
        <v>101</v>
      </c>
      <c r="B54" s="65" t="s">
        <v>394</v>
      </c>
      <c r="C54" s="65" t="s">
        <v>79</v>
      </c>
      <c r="D54" s="65" t="s">
        <v>260</v>
      </c>
      <c r="E54" s="65">
        <v>24.0</v>
      </c>
      <c r="F54" s="218">
        <v>129.2599</v>
      </c>
      <c r="G54" s="219">
        <v>45324.0</v>
      </c>
      <c r="H54" s="67" t="str">
        <f>IF(OR(D54="Sell to Trim", D54="Sell to Close"),F54/VLOOKUP(A54, 'Sector Holdings'!$B$3:$M$121, 11, FALSE) - 1, "N/A")</f>
        <v>N/A</v>
      </c>
      <c r="I54" s="218">
        <f t="shared" si="1"/>
        <v>-3102.2376</v>
      </c>
    </row>
    <row r="55" ht="15.75" customHeight="1">
      <c r="A55" s="65" t="s">
        <v>104</v>
      </c>
      <c r="B55" s="65" t="s">
        <v>336</v>
      </c>
      <c r="C55" s="65" t="s">
        <v>79</v>
      </c>
      <c r="D55" s="65" t="s">
        <v>260</v>
      </c>
      <c r="E55" s="65">
        <v>35.0</v>
      </c>
      <c r="F55" s="218">
        <v>88.3396</v>
      </c>
      <c r="G55" s="219">
        <v>45324.0</v>
      </c>
      <c r="H55" s="67" t="str">
        <f>IF(OR(D55="Sell to Trim", D55="Sell to Close"),F55/VLOOKUP(A55, 'Sector Holdings'!$B$3:$M$121, 11, FALSE) - 1, "N/A")</f>
        <v>N/A</v>
      </c>
      <c r="I55" s="218">
        <f t="shared" si="1"/>
        <v>-3091.886</v>
      </c>
    </row>
    <row r="56" ht="15.75" customHeight="1">
      <c r="A56" s="65" t="s">
        <v>105</v>
      </c>
      <c r="B56" s="65" t="s">
        <v>178</v>
      </c>
      <c r="C56" s="65" t="s">
        <v>79</v>
      </c>
      <c r="D56" s="65" t="s">
        <v>260</v>
      </c>
      <c r="E56" s="65">
        <v>21.0</v>
      </c>
      <c r="F56" s="218">
        <v>145.69</v>
      </c>
      <c r="G56" s="219">
        <v>45324.0</v>
      </c>
      <c r="H56" s="67" t="str">
        <f>IF(OR(D56="Sell to Trim", D56="Sell to Close"),F56/VLOOKUP(A56, 'Sector Holdings'!$B$3:$M$121, 11, FALSE) - 1, "N/A")</f>
        <v>N/A</v>
      </c>
      <c r="I56" s="218">
        <f t="shared" si="1"/>
        <v>-3059.49</v>
      </c>
    </row>
    <row r="57" ht="15.75" customHeight="1">
      <c r="A57" s="65" t="s">
        <v>106</v>
      </c>
      <c r="B57" s="65" t="s">
        <v>180</v>
      </c>
      <c r="C57" s="65" t="s">
        <v>79</v>
      </c>
      <c r="D57" s="65" t="s">
        <v>260</v>
      </c>
      <c r="E57" s="65">
        <v>37.0</v>
      </c>
      <c r="F57" s="218">
        <v>83.51</v>
      </c>
      <c r="G57" s="219">
        <v>45324.0</v>
      </c>
      <c r="H57" s="67" t="str">
        <f>IF(OR(D57="Sell to Trim", D57="Sell to Close"),F57/VLOOKUP(A57, 'Sector Holdings'!$B$3:$M$121, 11, FALSE) - 1, "N/A")</f>
        <v>N/A</v>
      </c>
      <c r="I57" s="218">
        <f t="shared" si="1"/>
        <v>-3089.87</v>
      </c>
    </row>
    <row r="58" ht="15.75" customHeight="1">
      <c r="A58" s="65" t="s">
        <v>181</v>
      </c>
      <c r="B58" s="65" t="s">
        <v>182</v>
      </c>
      <c r="C58" s="65" t="s">
        <v>79</v>
      </c>
      <c r="D58" s="65" t="s">
        <v>260</v>
      </c>
      <c r="E58" s="65">
        <v>16.0</v>
      </c>
      <c r="F58" s="218">
        <v>189.74</v>
      </c>
      <c r="G58" s="219">
        <v>45324.0</v>
      </c>
      <c r="H58" s="67" t="str">
        <f>IF(OR(D58="Sell to Trim", D58="Sell to Close"),F58/VLOOKUP(A58, 'Sector Holdings'!$B$3:$M$121, 11, FALSE) - 1, "N/A")</f>
        <v>N/A</v>
      </c>
      <c r="I58" s="218">
        <f t="shared" si="1"/>
        <v>-3035.84</v>
      </c>
    </row>
    <row r="59" ht="15.75" customHeight="1">
      <c r="A59" s="65" t="s">
        <v>266</v>
      </c>
      <c r="B59" s="65" t="s">
        <v>338</v>
      </c>
      <c r="C59" s="65" t="s">
        <v>79</v>
      </c>
      <c r="D59" s="65" t="s">
        <v>260</v>
      </c>
      <c r="E59" s="65">
        <v>27.0</v>
      </c>
      <c r="F59" s="218">
        <v>116.075</v>
      </c>
      <c r="G59" s="219">
        <v>45324.0</v>
      </c>
      <c r="H59" s="67" t="str">
        <f>IF(OR(D59="Sell to Trim", D59="Sell to Close"),F59/VLOOKUP(A59, 'Sector Holdings'!$B$3:$M$121, 11, FALSE) - 1, "N/A")</f>
        <v>N/A</v>
      </c>
      <c r="I59" s="218">
        <f t="shared" si="1"/>
        <v>-3134.025</v>
      </c>
    </row>
    <row r="60" ht="15.75" customHeight="1">
      <c r="A60" s="65" t="s">
        <v>107</v>
      </c>
      <c r="B60" s="65" t="s">
        <v>396</v>
      </c>
      <c r="C60" s="65" t="s">
        <v>81</v>
      </c>
      <c r="D60" s="65" t="s">
        <v>260</v>
      </c>
      <c r="E60" s="65">
        <v>65.0</v>
      </c>
      <c r="F60" s="218">
        <v>88.0899</v>
      </c>
      <c r="G60" s="219">
        <v>45324.0</v>
      </c>
      <c r="H60" s="67" t="str">
        <f>IF(OR(D60="Sell to Trim", D60="Sell to Close"),F60/VLOOKUP(A60, 'Sector Holdings'!$B$3:$M$121, 11, FALSE) - 1, "N/A")</f>
        <v>N/A</v>
      </c>
      <c r="I60" s="218">
        <f t="shared" si="1"/>
        <v>-5725.8435</v>
      </c>
    </row>
    <row r="61" ht="15.75" customHeight="1">
      <c r="A61" s="65" t="s">
        <v>108</v>
      </c>
      <c r="B61" s="65" t="s">
        <v>397</v>
      </c>
      <c r="C61" s="65" t="s">
        <v>81</v>
      </c>
      <c r="D61" s="65" t="s">
        <v>260</v>
      </c>
      <c r="E61" s="65">
        <v>13.0</v>
      </c>
      <c r="F61" s="218">
        <v>426.0599</v>
      </c>
      <c r="G61" s="219">
        <v>45324.0</v>
      </c>
      <c r="H61" s="67" t="str">
        <f>IF(OR(D61="Sell to Trim", D61="Sell to Close"),F61/VLOOKUP(A61, 'Sector Holdings'!$B$3:$M$121, 11, FALSE) - 1, "N/A")</f>
        <v>N/A</v>
      </c>
      <c r="I61" s="218">
        <f t="shared" si="1"/>
        <v>-5538.7787</v>
      </c>
    </row>
    <row r="62" ht="15.75" customHeight="1">
      <c r="A62" s="65" t="s">
        <v>109</v>
      </c>
      <c r="B62" s="65" t="s">
        <v>192</v>
      </c>
      <c r="C62" s="65" t="s">
        <v>81</v>
      </c>
      <c r="D62" s="65" t="s">
        <v>260</v>
      </c>
      <c r="E62" s="65">
        <v>10.0</v>
      </c>
      <c r="F62" s="218">
        <v>553.38</v>
      </c>
      <c r="G62" s="219">
        <v>45324.0</v>
      </c>
      <c r="H62" s="67" t="str">
        <f>IF(OR(D62="Sell to Trim", D62="Sell to Close"),F62/VLOOKUP(A62, 'Sector Holdings'!$B$3:$M$121, 11, FALSE) - 1, "N/A")</f>
        <v>N/A</v>
      </c>
      <c r="I62" s="218">
        <f t="shared" si="1"/>
        <v>-5533.8</v>
      </c>
    </row>
    <row r="63" ht="15.75" customHeight="1">
      <c r="A63" s="65" t="s">
        <v>110</v>
      </c>
      <c r="B63" s="65" t="s">
        <v>193</v>
      </c>
      <c r="C63" s="65" t="s">
        <v>81</v>
      </c>
      <c r="D63" s="65" t="s">
        <v>260</v>
      </c>
      <c r="E63" s="65">
        <v>11.0</v>
      </c>
      <c r="F63" s="218">
        <v>511.6404</v>
      </c>
      <c r="G63" s="219">
        <v>45324.0</v>
      </c>
      <c r="H63" s="67" t="str">
        <f>IF(OR(D63="Sell to Trim", D63="Sell to Close"),F63/VLOOKUP(A63, 'Sector Holdings'!$B$3:$M$121, 11, FALSE) - 1, "N/A")</f>
        <v>N/A</v>
      </c>
      <c r="I63" s="218">
        <f t="shared" si="1"/>
        <v>-5628.0444</v>
      </c>
    </row>
    <row r="64" ht="15.75" customHeight="1">
      <c r="A64" s="65" t="s">
        <v>112</v>
      </c>
      <c r="B64" s="65" t="s">
        <v>195</v>
      </c>
      <c r="C64" s="65" t="s">
        <v>81</v>
      </c>
      <c r="D64" s="65" t="s">
        <v>260</v>
      </c>
      <c r="E64" s="65">
        <v>27.0</v>
      </c>
      <c r="F64" s="218">
        <v>207.825</v>
      </c>
      <c r="G64" s="219">
        <v>45324.0</v>
      </c>
      <c r="H64" s="67" t="str">
        <f>IF(OR(D64="Sell to Trim", D64="Sell to Close"),F64/VLOOKUP(A64, 'Sector Holdings'!$B$3:$M$121, 11, FALSE) - 1, "N/A")</f>
        <v>N/A</v>
      </c>
      <c r="I64" s="218">
        <f t="shared" si="1"/>
        <v>-5611.275</v>
      </c>
    </row>
    <row r="65" ht="15.75" customHeight="1">
      <c r="A65" s="23" t="s">
        <v>103</v>
      </c>
      <c r="B65" s="23" t="s">
        <v>398</v>
      </c>
      <c r="C65" s="23" t="s">
        <v>79</v>
      </c>
      <c r="D65" s="23" t="s">
        <v>253</v>
      </c>
      <c r="E65" s="23">
        <v>-226.0</v>
      </c>
      <c r="F65" s="71">
        <v>80.63</v>
      </c>
      <c r="G65" s="50">
        <v>45317.0</v>
      </c>
      <c r="H65" s="19">
        <v>0.7581770606192759</v>
      </c>
      <c r="I65" s="71">
        <f t="shared" si="1"/>
        <v>18222.38</v>
      </c>
    </row>
    <row r="66" ht="15.75" customHeight="1">
      <c r="A66" s="65" t="s">
        <v>80</v>
      </c>
      <c r="B66" s="65" t="s">
        <v>200</v>
      </c>
      <c r="C66" s="65" t="s">
        <v>81</v>
      </c>
      <c r="D66" s="65" t="s">
        <v>253</v>
      </c>
      <c r="E66" s="65">
        <v>-200.0</v>
      </c>
      <c r="F66" s="218">
        <v>142.55</v>
      </c>
      <c r="G66" s="219">
        <v>45324.0</v>
      </c>
      <c r="H66" s="67">
        <v>0.02325748331060229</v>
      </c>
      <c r="I66" s="218">
        <f t="shared" si="1"/>
        <v>28510</v>
      </c>
    </row>
    <row r="67" ht="15.75" customHeight="1">
      <c r="A67" s="65" t="s">
        <v>78</v>
      </c>
      <c r="B67" s="65" t="s">
        <v>191</v>
      </c>
      <c r="C67" s="65" t="s">
        <v>79</v>
      </c>
      <c r="D67" s="65" t="s">
        <v>253</v>
      </c>
      <c r="E67" s="65">
        <v>-471.0</v>
      </c>
      <c r="F67" s="218">
        <v>39.1309</v>
      </c>
      <c r="G67" s="219">
        <v>45324.0</v>
      </c>
      <c r="H67" s="67">
        <v>0.011395709485655159</v>
      </c>
      <c r="I67" s="218">
        <f t="shared" si="1"/>
        <v>18430.6539</v>
      </c>
    </row>
    <row r="68" ht="15.75" customHeight="1">
      <c r="A68" s="23" t="s">
        <v>131</v>
      </c>
      <c r="B68" s="23" t="s">
        <v>399</v>
      </c>
      <c r="C68" s="23" t="s">
        <v>89</v>
      </c>
      <c r="D68" s="23" t="s">
        <v>253</v>
      </c>
      <c r="E68" s="23">
        <v>-186.0</v>
      </c>
      <c r="F68" s="71">
        <v>37.31</v>
      </c>
      <c r="G68" s="50">
        <v>45334.0</v>
      </c>
      <c r="H68" s="19">
        <v>-0.4287245444801715</v>
      </c>
      <c r="I68" s="71">
        <f t="shared" si="1"/>
        <v>6939.66</v>
      </c>
    </row>
    <row r="69" ht="15.75" customHeight="1">
      <c r="A69" s="23" t="s">
        <v>228</v>
      </c>
      <c r="B69" s="23" t="s">
        <v>229</v>
      </c>
      <c r="C69" s="23" t="s">
        <v>91</v>
      </c>
      <c r="D69" s="23" t="s">
        <v>260</v>
      </c>
      <c r="E69" s="23">
        <v>60.0</v>
      </c>
      <c r="F69" s="71">
        <v>43.01</v>
      </c>
      <c r="G69" s="50">
        <v>45334.0</v>
      </c>
      <c r="H69" s="19" t="s">
        <v>278</v>
      </c>
      <c r="I69" s="71">
        <f t="shared" si="1"/>
        <v>-2580.6</v>
      </c>
    </row>
    <row r="70" ht="15.75" customHeight="1">
      <c r="A70" s="23" t="s">
        <v>133</v>
      </c>
      <c r="B70" s="23" t="s">
        <v>226</v>
      </c>
      <c r="C70" s="23" t="s">
        <v>91</v>
      </c>
      <c r="D70" s="23" t="s">
        <v>260</v>
      </c>
      <c r="E70" s="23">
        <v>45.0</v>
      </c>
      <c r="F70" s="71">
        <v>57.54</v>
      </c>
      <c r="G70" s="50">
        <v>45334.0</v>
      </c>
      <c r="H70" s="19" t="s">
        <v>278</v>
      </c>
      <c r="I70" s="71">
        <f t="shared" si="1"/>
        <v>-2589.3</v>
      </c>
    </row>
    <row r="71" ht="15.75" customHeight="1">
      <c r="A71" s="23" t="s">
        <v>134</v>
      </c>
      <c r="B71" s="23" t="s">
        <v>227</v>
      </c>
      <c r="C71" s="23" t="s">
        <v>91</v>
      </c>
      <c r="D71" s="23" t="s">
        <v>260</v>
      </c>
      <c r="E71" s="23">
        <v>10.0</v>
      </c>
      <c r="F71" s="71">
        <v>128.5</v>
      </c>
      <c r="G71" s="50">
        <v>45334.0</v>
      </c>
      <c r="H71" s="19" t="s">
        <v>278</v>
      </c>
      <c r="I71" s="71">
        <f t="shared" si="1"/>
        <v>-1285</v>
      </c>
    </row>
    <row r="72" ht="15.75" customHeight="1">
      <c r="A72" s="23" t="s">
        <v>129</v>
      </c>
      <c r="B72" s="23" t="s">
        <v>400</v>
      </c>
      <c r="C72" s="23" t="s">
        <v>89</v>
      </c>
      <c r="D72" s="23" t="s">
        <v>260</v>
      </c>
      <c r="E72" s="23">
        <v>16.0</v>
      </c>
      <c r="F72" s="71">
        <v>109.88</v>
      </c>
      <c r="G72" s="50">
        <v>45334.0</v>
      </c>
      <c r="H72" s="19" t="s">
        <v>278</v>
      </c>
      <c r="I72" s="71">
        <f t="shared" si="1"/>
        <v>-1758.08</v>
      </c>
    </row>
    <row r="73" ht="15.75" customHeight="1">
      <c r="A73" s="23" t="s">
        <v>130</v>
      </c>
      <c r="B73" s="23" t="s">
        <v>213</v>
      </c>
      <c r="C73" s="23" t="s">
        <v>89</v>
      </c>
      <c r="D73" s="23" t="s">
        <v>260</v>
      </c>
      <c r="E73" s="23">
        <v>12.0</v>
      </c>
      <c r="F73" s="71">
        <v>148.47</v>
      </c>
      <c r="G73" s="50">
        <v>45334.0</v>
      </c>
      <c r="H73" s="19" t="s">
        <v>278</v>
      </c>
      <c r="I73" s="71">
        <f t="shared" si="1"/>
        <v>-1781.64</v>
      </c>
    </row>
    <row r="74" ht="15.75" customHeight="1">
      <c r="A74" s="23" t="s">
        <v>132</v>
      </c>
      <c r="B74" s="23" t="s">
        <v>222</v>
      </c>
      <c r="C74" s="23" t="s">
        <v>89</v>
      </c>
      <c r="D74" s="23" t="s">
        <v>260</v>
      </c>
      <c r="E74" s="23">
        <v>4.0</v>
      </c>
      <c r="F74" s="71">
        <v>468.38</v>
      </c>
      <c r="G74" s="50">
        <v>45334.0</v>
      </c>
      <c r="H74" s="19" t="s">
        <v>278</v>
      </c>
      <c r="I74" s="71">
        <f t="shared" si="1"/>
        <v>-1873.52</v>
      </c>
    </row>
    <row r="75" ht="15.75" customHeight="1">
      <c r="A75" s="23" t="s">
        <v>223</v>
      </c>
      <c r="B75" s="23" t="s">
        <v>224</v>
      </c>
      <c r="C75" s="23" t="s">
        <v>89</v>
      </c>
      <c r="D75" s="23" t="s">
        <v>260</v>
      </c>
      <c r="E75" s="23">
        <v>19.0</v>
      </c>
      <c r="F75" s="71">
        <v>89.67</v>
      </c>
      <c r="G75" s="50">
        <v>45334.0</v>
      </c>
      <c r="H75" s="19" t="s">
        <v>278</v>
      </c>
      <c r="I75" s="71">
        <f t="shared" si="1"/>
        <v>-1703.73</v>
      </c>
    </row>
    <row r="76" ht="15.75" customHeight="1">
      <c r="A76" s="18" t="s">
        <v>118</v>
      </c>
      <c r="B76" s="23" t="s">
        <v>210</v>
      </c>
      <c r="C76" s="23" t="s">
        <v>85</v>
      </c>
      <c r="D76" s="23" t="s">
        <v>260</v>
      </c>
      <c r="E76" s="23">
        <v>15.0</v>
      </c>
      <c r="F76" s="71">
        <v>132.58</v>
      </c>
      <c r="G76" s="50">
        <v>45334.0</v>
      </c>
      <c r="H76" s="19" t="s">
        <v>278</v>
      </c>
      <c r="I76" s="71">
        <f t="shared" si="1"/>
        <v>-1988.7</v>
      </c>
    </row>
    <row r="77" ht="15.75" customHeight="1">
      <c r="A77" s="18" t="s">
        <v>120</v>
      </c>
      <c r="B77" s="23" t="s">
        <v>211</v>
      </c>
      <c r="C77" s="23" t="s">
        <v>85</v>
      </c>
      <c r="D77" s="23" t="s">
        <v>260</v>
      </c>
      <c r="E77" s="23">
        <v>33.0</v>
      </c>
      <c r="F77" s="71">
        <v>58.16</v>
      </c>
      <c r="G77" s="50">
        <v>45334.0</v>
      </c>
      <c r="H77" s="19" t="s">
        <v>278</v>
      </c>
      <c r="I77" s="71">
        <f t="shared" si="1"/>
        <v>-1919.28</v>
      </c>
    </row>
    <row r="78" ht="15.75" customHeight="1">
      <c r="A78" s="18" t="s">
        <v>271</v>
      </c>
      <c r="B78" s="23" t="s">
        <v>395</v>
      </c>
      <c r="C78" s="23" t="s">
        <v>85</v>
      </c>
      <c r="D78" s="23" t="s">
        <v>260</v>
      </c>
      <c r="E78" s="23">
        <v>65.0</v>
      </c>
      <c r="F78" s="71">
        <v>29.86</v>
      </c>
      <c r="G78" s="50">
        <v>45334.0</v>
      </c>
      <c r="H78" s="19" t="s">
        <v>278</v>
      </c>
      <c r="I78" s="71">
        <f t="shared" si="1"/>
        <v>-1940.9</v>
      </c>
    </row>
    <row r="79" ht="15.75" customHeight="1">
      <c r="A79" s="23" t="s">
        <v>135</v>
      </c>
      <c r="B79" s="23" t="s">
        <v>401</v>
      </c>
      <c r="C79" s="23" t="s">
        <v>91</v>
      </c>
      <c r="D79" s="23" t="s">
        <v>253</v>
      </c>
      <c r="E79" s="23">
        <v>-272.0</v>
      </c>
      <c r="F79" s="71">
        <v>23.5514</v>
      </c>
      <c r="G79" s="50">
        <v>45334.0</v>
      </c>
      <c r="H79" s="19">
        <v>-0.25658459595959593</v>
      </c>
      <c r="I79" s="71">
        <f t="shared" si="1"/>
        <v>6405.9808</v>
      </c>
    </row>
    <row r="80" ht="15.75" customHeight="1">
      <c r="A80" s="23" t="s">
        <v>121</v>
      </c>
      <c r="B80" s="23" t="s">
        <v>402</v>
      </c>
      <c r="C80" s="23" t="s">
        <v>85</v>
      </c>
      <c r="D80" s="23" t="s">
        <v>253</v>
      </c>
      <c r="E80" s="23">
        <v>-30.0</v>
      </c>
      <c r="F80" s="71">
        <v>193.1</v>
      </c>
      <c r="G80" s="50">
        <v>45334.0</v>
      </c>
      <c r="H80" s="19">
        <v>-0.060340632603406386</v>
      </c>
      <c r="I80" s="71">
        <f t="shared" si="1"/>
        <v>5793</v>
      </c>
    </row>
    <row r="81" ht="15.75" customHeight="1">
      <c r="A81" s="23" t="s">
        <v>26</v>
      </c>
      <c r="B81" s="23" t="s">
        <v>403</v>
      </c>
      <c r="C81" s="23" t="s">
        <v>17</v>
      </c>
      <c r="D81" s="23" t="s">
        <v>253</v>
      </c>
      <c r="E81" s="23">
        <v>-1241.0</v>
      </c>
      <c r="F81" s="71">
        <v>16.9</v>
      </c>
      <c r="G81" s="50">
        <v>45334.0</v>
      </c>
      <c r="H81" s="19">
        <v>-0.27746900384779827</v>
      </c>
      <c r="I81" s="71">
        <f t="shared" si="1"/>
        <v>20972.9</v>
      </c>
    </row>
    <row r="82" ht="15.75" customHeight="1">
      <c r="A82" s="220" t="s">
        <v>97</v>
      </c>
      <c r="B82" s="65" t="s">
        <v>162</v>
      </c>
      <c r="C82" s="65" t="s">
        <v>74</v>
      </c>
      <c r="D82" s="65" t="s">
        <v>260</v>
      </c>
      <c r="E82" s="65">
        <v>87.0</v>
      </c>
      <c r="F82" s="218">
        <v>89.8188</v>
      </c>
      <c r="G82" s="219">
        <v>45338.0</v>
      </c>
      <c r="H82" s="67" t="s">
        <v>278</v>
      </c>
      <c r="I82" s="218">
        <f t="shared" si="1"/>
        <v>-7814.2356</v>
      </c>
    </row>
    <row r="83" ht="15.75" customHeight="1">
      <c r="A83" s="220" t="s">
        <v>165</v>
      </c>
      <c r="B83" s="65" t="s">
        <v>166</v>
      </c>
      <c r="C83" s="65" t="s">
        <v>74</v>
      </c>
      <c r="D83" s="65" t="s">
        <v>260</v>
      </c>
      <c r="E83" s="65">
        <v>147.0</v>
      </c>
      <c r="F83" s="218">
        <v>53.06</v>
      </c>
      <c r="G83" s="219">
        <v>45338.0</v>
      </c>
      <c r="H83" s="67" t="s">
        <v>278</v>
      </c>
      <c r="I83" s="218">
        <f t="shared" si="1"/>
        <v>-7799.82</v>
      </c>
    </row>
    <row r="84" ht="15.75" customHeight="1">
      <c r="A84" s="220" t="s">
        <v>163</v>
      </c>
      <c r="B84" s="65" t="s">
        <v>164</v>
      </c>
      <c r="C84" s="65" t="s">
        <v>74</v>
      </c>
      <c r="D84" s="65" t="s">
        <v>260</v>
      </c>
      <c r="E84" s="65">
        <v>74.0</v>
      </c>
      <c r="F84" s="218">
        <v>104.9461</v>
      </c>
      <c r="G84" s="219">
        <v>45338.0</v>
      </c>
      <c r="H84" s="67" t="s">
        <v>278</v>
      </c>
      <c r="I84" s="218">
        <f t="shared" si="1"/>
        <v>-7766.0114</v>
      </c>
    </row>
    <row r="85" ht="15.75" customHeight="1">
      <c r="A85" s="220" t="s">
        <v>114</v>
      </c>
      <c r="B85" s="65" t="s">
        <v>201</v>
      </c>
      <c r="C85" s="65" t="s">
        <v>83</v>
      </c>
      <c r="D85" s="65" t="s">
        <v>260</v>
      </c>
      <c r="E85" s="65">
        <v>19.0</v>
      </c>
      <c r="F85" s="218">
        <v>226.6699</v>
      </c>
      <c r="G85" s="219">
        <v>45338.0</v>
      </c>
      <c r="H85" s="67" t="s">
        <v>278</v>
      </c>
      <c r="I85" s="218">
        <f t="shared" si="1"/>
        <v>-4306.7281</v>
      </c>
    </row>
    <row r="86" ht="15.75" customHeight="1">
      <c r="A86" s="220" t="s">
        <v>115</v>
      </c>
      <c r="B86" s="65" t="s">
        <v>331</v>
      </c>
      <c r="C86" s="65" t="s">
        <v>83</v>
      </c>
      <c r="D86" s="65" t="s">
        <v>260</v>
      </c>
      <c r="E86" s="65">
        <v>7.0</v>
      </c>
      <c r="F86" s="218">
        <v>653.2861</v>
      </c>
      <c r="G86" s="219">
        <v>45338.0</v>
      </c>
      <c r="H86" s="67" t="s">
        <v>278</v>
      </c>
      <c r="I86" s="218">
        <f t="shared" si="1"/>
        <v>-4573.0027</v>
      </c>
    </row>
    <row r="87" ht="15.75" customHeight="1">
      <c r="A87" s="220" t="s">
        <v>116</v>
      </c>
      <c r="B87" s="65" t="s">
        <v>404</v>
      </c>
      <c r="C87" s="65" t="s">
        <v>83</v>
      </c>
      <c r="D87" s="65" t="s">
        <v>260</v>
      </c>
      <c r="E87" s="65">
        <v>12.0</v>
      </c>
      <c r="F87" s="218">
        <v>360.46</v>
      </c>
      <c r="G87" s="219">
        <v>45338.0</v>
      </c>
      <c r="H87" s="67" t="s">
        <v>278</v>
      </c>
      <c r="I87" s="218">
        <f t="shared" si="1"/>
        <v>-4325.52</v>
      </c>
    </row>
    <row r="88" ht="15.75" customHeight="1">
      <c r="A88" s="220" t="s">
        <v>329</v>
      </c>
      <c r="B88" s="65" t="s">
        <v>330</v>
      </c>
      <c r="C88" s="65" t="s">
        <v>83</v>
      </c>
      <c r="D88" s="65" t="s">
        <v>260</v>
      </c>
      <c r="E88" s="65">
        <v>30.0</v>
      </c>
      <c r="F88" s="218">
        <v>146.11</v>
      </c>
      <c r="G88" s="219">
        <v>45338.0</v>
      </c>
      <c r="H88" s="67" t="s">
        <v>278</v>
      </c>
      <c r="I88" s="218">
        <f t="shared" si="1"/>
        <v>-4383.3</v>
      </c>
    </row>
    <row r="89" ht="15.75" customHeight="1">
      <c r="A89" s="220" t="s">
        <v>122</v>
      </c>
      <c r="B89" s="65" t="s">
        <v>310</v>
      </c>
      <c r="C89" s="65" t="s">
        <v>87</v>
      </c>
      <c r="D89" s="65" t="s">
        <v>260</v>
      </c>
      <c r="E89" s="65">
        <v>11.0</v>
      </c>
      <c r="F89" s="218">
        <v>558.18</v>
      </c>
      <c r="G89" s="219">
        <v>45338.0</v>
      </c>
      <c r="H89" s="67" t="s">
        <v>278</v>
      </c>
      <c r="I89" s="218">
        <f t="shared" si="1"/>
        <v>-6139.98</v>
      </c>
    </row>
    <row r="90" ht="15.75" customHeight="1">
      <c r="A90" s="220" t="s">
        <v>123</v>
      </c>
      <c r="B90" s="65" t="s">
        <v>311</v>
      </c>
      <c r="C90" s="65" t="s">
        <v>87</v>
      </c>
      <c r="D90" s="65" t="s">
        <v>260</v>
      </c>
      <c r="E90" s="65">
        <v>15.0</v>
      </c>
      <c r="F90" s="218">
        <v>404.968</v>
      </c>
      <c r="G90" s="219">
        <v>45338.0</v>
      </c>
      <c r="H90" s="67" t="s">
        <v>278</v>
      </c>
      <c r="I90" s="218">
        <f t="shared" si="1"/>
        <v>-6074.52</v>
      </c>
    </row>
    <row r="91" ht="15.75" customHeight="1">
      <c r="A91" s="65" t="s">
        <v>124</v>
      </c>
      <c r="B91" s="65" t="s">
        <v>215</v>
      </c>
      <c r="C91" s="65" t="s">
        <v>87</v>
      </c>
      <c r="D91" s="65" t="s">
        <v>260</v>
      </c>
      <c r="E91" s="65">
        <v>29.0</v>
      </c>
      <c r="F91" s="66">
        <v>202.3849</v>
      </c>
      <c r="G91" s="219">
        <v>45338.0</v>
      </c>
      <c r="H91" s="67" t="s">
        <v>278</v>
      </c>
      <c r="I91" s="218">
        <f t="shared" si="1"/>
        <v>-5869.1621</v>
      </c>
    </row>
    <row r="92" ht="15.75" customHeight="1">
      <c r="A92" s="65" t="s">
        <v>126</v>
      </c>
      <c r="B92" s="65" t="s">
        <v>216</v>
      </c>
      <c r="C92" s="65" t="s">
        <v>87</v>
      </c>
      <c r="D92" s="65" t="s">
        <v>260</v>
      </c>
      <c r="E92" s="65">
        <v>11.0</v>
      </c>
      <c r="F92" s="218">
        <v>556.7746</v>
      </c>
      <c r="G92" s="219">
        <v>45338.0</v>
      </c>
      <c r="H92" s="67" t="s">
        <v>278</v>
      </c>
      <c r="I92" s="218">
        <f t="shared" si="1"/>
        <v>-6124.5206</v>
      </c>
    </row>
    <row r="93" ht="15.75" customHeight="1">
      <c r="A93" s="65" t="s">
        <v>128</v>
      </c>
      <c r="B93" s="65" t="s">
        <v>217</v>
      </c>
      <c r="C93" s="65" t="s">
        <v>87</v>
      </c>
      <c r="D93" s="65" t="s">
        <v>260</v>
      </c>
      <c r="E93" s="65">
        <v>2.0</v>
      </c>
      <c r="F93" s="218">
        <v>2785.97</v>
      </c>
      <c r="G93" s="219">
        <v>45338.0</v>
      </c>
      <c r="H93" s="67" t="s">
        <v>278</v>
      </c>
      <c r="I93" s="218">
        <f t="shared" si="1"/>
        <v>-5571.94</v>
      </c>
    </row>
    <row r="94" ht="15.75" customHeight="1">
      <c r="A94" s="220" t="s">
        <v>96</v>
      </c>
      <c r="B94" s="65" t="s">
        <v>405</v>
      </c>
      <c r="C94" s="65" t="s">
        <v>74</v>
      </c>
      <c r="D94" s="65" t="s">
        <v>253</v>
      </c>
      <c r="E94" s="65">
        <v>-307.0</v>
      </c>
      <c r="F94" s="218">
        <v>76.3155</v>
      </c>
      <c r="G94" s="219">
        <v>45338.0</v>
      </c>
      <c r="H94" s="67">
        <v>-0.17621437823834196</v>
      </c>
      <c r="I94" s="218">
        <f t="shared" si="1"/>
        <v>23428.8585</v>
      </c>
    </row>
    <row r="95" ht="15.75" customHeight="1">
      <c r="A95" s="220" t="s">
        <v>125</v>
      </c>
      <c r="B95" s="65" t="s">
        <v>406</v>
      </c>
      <c r="C95" s="65" t="s">
        <v>87</v>
      </c>
      <c r="D95" s="65" t="s">
        <v>253</v>
      </c>
      <c r="E95" s="65">
        <v>-151.0</v>
      </c>
      <c r="F95" s="218">
        <v>196.3021</v>
      </c>
      <c r="G95" s="219">
        <v>45338.0</v>
      </c>
      <c r="H95" s="67">
        <v>0.1249404011461317</v>
      </c>
      <c r="I95" s="218">
        <f t="shared" si="1"/>
        <v>29641.6171</v>
      </c>
    </row>
    <row r="96" ht="15.75" customHeight="1">
      <c r="A96" s="23" t="s">
        <v>98</v>
      </c>
      <c r="B96" s="23" t="s">
        <v>169</v>
      </c>
      <c r="C96" s="23" t="s">
        <v>77</v>
      </c>
      <c r="D96" s="23" t="s">
        <v>260</v>
      </c>
      <c r="E96" s="23">
        <v>118.0</v>
      </c>
      <c r="F96" s="71">
        <v>159.57</v>
      </c>
      <c r="G96" s="50">
        <v>45345.0</v>
      </c>
      <c r="H96" s="19" t="s">
        <v>278</v>
      </c>
      <c r="I96" s="71">
        <f t="shared" si="1"/>
        <v>-18829.26</v>
      </c>
    </row>
    <row r="97" ht="15.75" customHeight="1">
      <c r="A97" s="23" t="s">
        <v>99</v>
      </c>
      <c r="B97" s="23" t="s">
        <v>170</v>
      </c>
      <c r="C97" s="23" t="s">
        <v>77</v>
      </c>
      <c r="D97" s="23" t="s">
        <v>260</v>
      </c>
      <c r="E97" s="23">
        <v>18.0</v>
      </c>
      <c r="F97" s="71">
        <v>117.16</v>
      </c>
      <c r="G97" s="50">
        <v>45345.0</v>
      </c>
      <c r="H97" s="19" t="s">
        <v>278</v>
      </c>
      <c r="I97" s="71">
        <f t="shared" si="1"/>
        <v>-2108.88</v>
      </c>
    </row>
    <row r="98" ht="15.75" customHeight="1">
      <c r="A98" s="23" t="s">
        <v>265</v>
      </c>
      <c r="B98" s="23" t="s">
        <v>407</v>
      </c>
      <c r="C98" s="23" t="s">
        <v>77</v>
      </c>
      <c r="D98" s="23" t="s">
        <v>260</v>
      </c>
      <c r="E98" s="23">
        <v>20.0</v>
      </c>
      <c r="F98" s="71">
        <v>157.6</v>
      </c>
      <c r="G98" s="50">
        <v>45345.0</v>
      </c>
      <c r="H98" s="19" t="s">
        <v>278</v>
      </c>
      <c r="I98" s="71">
        <f t="shared" si="1"/>
        <v>-3152</v>
      </c>
    </row>
    <row r="99" ht="15.75" customHeight="1">
      <c r="A99" s="23" t="s">
        <v>108</v>
      </c>
      <c r="B99" s="23" t="s">
        <v>397</v>
      </c>
      <c r="C99" s="23" t="s">
        <v>81</v>
      </c>
      <c r="D99" s="23" t="s">
        <v>260</v>
      </c>
      <c r="E99" s="23">
        <v>9.0</v>
      </c>
      <c r="F99" s="71">
        <v>430.57</v>
      </c>
      <c r="G99" s="50">
        <v>45345.0</v>
      </c>
      <c r="H99" s="19" t="s">
        <v>278</v>
      </c>
      <c r="I99" s="71">
        <f t="shared" si="1"/>
        <v>-3875.13</v>
      </c>
    </row>
    <row r="100" ht="15.75" customHeight="1">
      <c r="A100" s="23" t="s">
        <v>109</v>
      </c>
      <c r="B100" s="23" t="s">
        <v>192</v>
      </c>
      <c r="C100" s="23" t="s">
        <v>81</v>
      </c>
      <c r="D100" s="23" t="s">
        <v>260</v>
      </c>
      <c r="E100" s="23">
        <v>7.0</v>
      </c>
      <c r="F100" s="71">
        <v>565.15</v>
      </c>
      <c r="G100" s="50">
        <v>45345.0</v>
      </c>
      <c r="H100" s="19" t="s">
        <v>278</v>
      </c>
      <c r="I100" s="71">
        <f t="shared" si="1"/>
        <v>-3956.05</v>
      </c>
    </row>
    <row r="101" ht="15.75" customHeight="1">
      <c r="A101" s="23" t="s">
        <v>110</v>
      </c>
      <c r="B101" s="23" t="s">
        <v>193</v>
      </c>
      <c r="C101" s="23" t="s">
        <v>81</v>
      </c>
      <c r="D101" s="23" t="s">
        <v>260</v>
      </c>
      <c r="E101" s="23">
        <v>8.0</v>
      </c>
      <c r="F101" s="71">
        <v>526.3</v>
      </c>
      <c r="G101" s="50">
        <v>45345.0</v>
      </c>
      <c r="H101" s="19" t="s">
        <v>278</v>
      </c>
      <c r="I101" s="71">
        <f t="shared" si="1"/>
        <v>-4210.4</v>
      </c>
    </row>
    <row r="102" ht="15.75" customHeight="1">
      <c r="A102" s="23" t="s">
        <v>112</v>
      </c>
      <c r="B102" s="23" t="s">
        <v>195</v>
      </c>
      <c r="C102" s="23" t="s">
        <v>81</v>
      </c>
      <c r="D102" s="23" t="s">
        <v>260</v>
      </c>
      <c r="E102" s="23">
        <v>18.0</v>
      </c>
      <c r="F102" s="71">
        <v>223.13</v>
      </c>
      <c r="G102" s="50">
        <v>45345.0</v>
      </c>
      <c r="H102" s="19" t="s">
        <v>278</v>
      </c>
      <c r="I102" s="71">
        <f t="shared" si="1"/>
        <v>-4016.34</v>
      </c>
    </row>
    <row r="103" ht="15.75" customHeight="1">
      <c r="A103" s="23" t="s">
        <v>340</v>
      </c>
      <c r="B103" s="23" t="s">
        <v>341</v>
      </c>
      <c r="C103" s="23" t="s">
        <v>81</v>
      </c>
      <c r="D103" s="23" t="s">
        <v>260</v>
      </c>
      <c r="E103" s="23">
        <v>227.0</v>
      </c>
      <c r="F103" s="71">
        <v>17.56</v>
      </c>
      <c r="G103" s="50">
        <v>45345.0</v>
      </c>
      <c r="H103" s="19" t="s">
        <v>278</v>
      </c>
      <c r="I103" s="71">
        <f t="shared" si="1"/>
        <v>-3986.12</v>
      </c>
    </row>
    <row r="104" ht="15.75" customHeight="1">
      <c r="A104" s="65" t="s">
        <v>376</v>
      </c>
      <c r="B104" s="65" t="s">
        <v>377</v>
      </c>
      <c r="C104" s="65" t="s">
        <v>69</v>
      </c>
      <c r="D104" s="65" t="s">
        <v>253</v>
      </c>
      <c r="E104" s="65">
        <v>-2.0</v>
      </c>
      <c r="F104" s="218">
        <v>1174.73</v>
      </c>
      <c r="G104" s="219">
        <v>45350.0</v>
      </c>
      <c r="H104" s="67">
        <v>0.1456198008601437</v>
      </c>
      <c r="I104" s="218">
        <f t="shared" si="1"/>
        <v>2349.46</v>
      </c>
    </row>
    <row r="105" ht="15.75" customHeight="1">
      <c r="A105" s="220" t="s">
        <v>378</v>
      </c>
      <c r="B105" s="65" t="s">
        <v>379</v>
      </c>
      <c r="C105" s="65" t="s">
        <v>69</v>
      </c>
      <c r="D105" s="65" t="s">
        <v>253</v>
      </c>
      <c r="E105" s="65">
        <v>-16.0</v>
      </c>
      <c r="F105" s="218">
        <v>141.65</v>
      </c>
      <c r="G105" s="219">
        <v>45350.0</v>
      </c>
      <c r="H105" s="67">
        <v>0.08719762435998102</v>
      </c>
      <c r="I105" s="218">
        <f t="shared" si="1"/>
        <v>2266.4</v>
      </c>
    </row>
    <row r="106" ht="15.75" customHeight="1">
      <c r="A106" s="220" t="s">
        <v>97</v>
      </c>
      <c r="B106" s="65" t="s">
        <v>162</v>
      </c>
      <c r="C106" s="65" t="s">
        <v>69</v>
      </c>
      <c r="D106" s="65" t="s">
        <v>253</v>
      </c>
      <c r="E106" s="65">
        <v>-22.0</v>
      </c>
      <c r="F106" s="218">
        <v>90.18</v>
      </c>
      <c r="G106" s="219">
        <v>45350.0</v>
      </c>
      <c r="H106" s="67">
        <v>-0.0049652432969213844</v>
      </c>
      <c r="I106" s="218">
        <f t="shared" si="1"/>
        <v>1983.96</v>
      </c>
    </row>
    <row r="107" ht="15.75" customHeight="1">
      <c r="A107" s="220" t="s">
        <v>380</v>
      </c>
      <c r="B107" s="65" t="s">
        <v>381</v>
      </c>
      <c r="C107" s="65" t="s">
        <v>69</v>
      </c>
      <c r="D107" s="65" t="s">
        <v>253</v>
      </c>
      <c r="E107" s="65">
        <v>-14.0</v>
      </c>
      <c r="F107" s="218">
        <v>154.01</v>
      </c>
      <c r="G107" s="219">
        <v>45350.0</v>
      </c>
      <c r="H107" s="67">
        <v>0.023424261554307657</v>
      </c>
      <c r="I107" s="218">
        <f t="shared" si="1"/>
        <v>2156.14</v>
      </c>
    </row>
    <row r="108" ht="15.75" customHeight="1">
      <c r="A108" s="220" t="s">
        <v>348</v>
      </c>
      <c r="B108" s="65" t="s">
        <v>349</v>
      </c>
      <c r="C108" s="65" t="s">
        <v>69</v>
      </c>
      <c r="D108" s="65" t="s">
        <v>253</v>
      </c>
      <c r="E108" s="65">
        <v>-7.0</v>
      </c>
      <c r="F108" s="218">
        <v>311.3927</v>
      </c>
      <c r="G108" s="219">
        <v>45350.0</v>
      </c>
      <c r="H108" s="67">
        <v>0.11197778849072426</v>
      </c>
      <c r="I108" s="218">
        <f t="shared" si="1"/>
        <v>2179.7489</v>
      </c>
    </row>
    <row r="109" ht="15.75" customHeight="1">
      <c r="A109" s="220" t="s">
        <v>382</v>
      </c>
      <c r="B109" s="65" t="s">
        <v>383</v>
      </c>
      <c r="C109" s="65" t="s">
        <v>69</v>
      </c>
      <c r="D109" s="65" t="s">
        <v>253</v>
      </c>
      <c r="E109" s="65">
        <v>-34.0</v>
      </c>
      <c r="F109" s="218">
        <v>59.9857</v>
      </c>
      <c r="G109" s="219">
        <v>45350.0</v>
      </c>
      <c r="H109" s="67">
        <v>-0.020611251614335746</v>
      </c>
      <c r="I109" s="218">
        <f t="shared" si="1"/>
        <v>2039.5138</v>
      </c>
    </row>
    <row r="110" ht="15.75" customHeight="1">
      <c r="A110" s="220" t="s">
        <v>384</v>
      </c>
      <c r="B110" s="65" t="s">
        <v>385</v>
      </c>
      <c r="C110" s="65" t="s">
        <v>69</v>
      </c>
      <c r="D110" s="65" t="s">
        <v>253</v>
      </c>
      <c r="E110" s="65">
        <v>-20.0</v>
      </c>
      <c r="F110" s="218">
        <v>100.29</v>
      </c>
      <c r="G110" s="219">
        <v>45350.0</v>
      </c>
      <c r="H110" s="67">
        <v>-0.02686999316897465</v>
      </c>
      <c r="I110" s="218">
        <f t="shared" si="1"/>
        <v>2005.8</v>
      </c>
    </row>
    <row r="111" ht="15.75" customHeight="1">
      <c r="A111" s="65" t="s">
        <v>386</v>
      </c>
      <c r="B111" s="65" t="s">
        <v>387</v>
      </c>
      <c r="C111" s="65" t="s">
        <v>69</v>
      </c>
      <c r="D111" s="65" t="s">
        <v>253</v>
      </c>
      <c r="E111" s="65">
        <v>-14.0</v>
      </c>
      <c r="F111" s="218">
        <v>145.93</v>
      </c>
      <c r="G111" s="219">
        <v>45350.0</v>
      </c>
      <c r="H111" s="67">
        <v>-0.04305059182268267</v>
      </c>
      <c r="I111" s="218">
        <f t="shared" si="1"/>
        <v>2043.02</v>
      </c>
    </row>
    <row r="112" ht="15.75" customHeight="1">
      <c r="A112" s="220" t="s">
        <v>388</v>
      </c>
      <c r="B112" s="65" t="s">
        <v>389</v>
      </c>
      <c r="C112" s="65" t="s">
        <v>69</v>
      </c>
      <c r="D112" s="65" t="s">
        <v>253</v>
      </c>
      <c r="E112" s="65">
        <v>-18.0</v>
      </c>
      <c r="F112" s="218">
        <v>111.9715</v>
      </c>
      <c r="G112" s="219">
        <v>45350.0</v>
      </c>
      <c r="H112" s="67">
        <v>-0.021057002972547534</v>
      </c>
      <c r="I112" s="218">
        <f t="shared" si="1"/>
        <v>2015.487</v>
      </c>
    </row>
    <row r="113" ht="15.75" customHeight="1">
      <c r="A113" s="220" t="s">
        <v>390</v>
      </c>
      <c r="B113" s="65" t="s">
        <v>391</v>
      </c>
      <c r="C113" s="65" t="s">
        <v>69</v>
      </c>
      <c r="D113" s="65" t="s">
        <v>253</v>
      </c>
      <c r="E113" s="65">
        <v>-23.0</v>
      </c>
      <c r="F113" s="218">
        <v>92.84</v>
      </c>
      <c r="G113" s="219">
        <v>45350.0</v>
      </c>
      <c r="H113" s="67">
        <v>0.008145301493432067</v>
      </c>
      <c r="I113" s="218">
        <f t="shared" si="1"/>
        <v>2135.32</v>
      </c>
    </row>
    <row r="114" ht="15.75" customHeight="1">
      <c r="A114" s="220" t="s">
        <v>150</v>
      </c>
      <c r="B114" s="65" t="s">
        <v>369</v>
      </c>
      <c r="C114" s="65" t="s">
        <v>69</v>
      </c>
      <c r="D114" s="65" t="s">
        <v>253</v>
      </c>
      <c r="E114" s="65">
        <v>-251.0</v>
      </c>
      <c r="F114" s="218">
        <v>17.73</v>
      </c>
      <c r="G114" s="219">
        <v>45350.0</v>
      </c>
      <c r="H114" s="67">
        <v>0.0613588745884468</v>
      </c>
      <c r="I114" s="218">
        <f t="shared" si="1"/>
        <v>4450.23</v>
      </c>
    </row>
    <row r="115" ht="15.75" customHeight="1">
      <c r="A115" s="220" t="s">
        <v>348</v>
      </c>
      <c r="B115" s="65" t="s">
        <v>349</v>
      </c>
      <c r="C115" s="65" t="s">
        <v>69</v>
      </c>
      <c r="D115" s="65" t="s">
        <v>253</v>
      </c>
      <c r="E115" s="65">
        <v>-15.0</v>
      </c>
      <c r="F115" s="218">
        <v>311.2241</v>
      </c>
      <c r="G115" s="219">
        <v>45350.0</v>
      </c>
      <c r="H115" s="67">
        <v>0.1113757208920314</v>
      </c>
      <c r="I115" s="218">
        <f t="shared" si="1"/>
        <v>4668.3615</v>
      </c>
    </row>
    <row r="116" ht="15.75" customHeight="1">
      <c r="A116" s="220" t="s">
        <v>370</v>
      </c>
      <c r="B116" s="65" t="s">
        <v>371</v>
      </c>
      <c r="C116" s="65" t="s">
        <v>69</v>
      </c>
      <c r="D116" s="65" t="s">
        <v>253</v>
      </c>
      <c r="E116" s="65">
        <v>-116.0</v>
      </c>
      <c r="F116" s="218">
        <v>33.075</v>
      </c>
      <c r="G116" s="219">
        <v>45350.0</v>
      </c>
      <c r="H116" s="67">
        <v>-0.08076995764454764</v>
      </c>
      <c r="I116" s="218">
        <f t="shared" si="1"/>
        <v>3836.7</v>
      </c>
    </row>
    <row r="117" ht="15.75" customHeight="1">
      <c r="A117" s="220" t="s">
        <v>372</v>
      </c>
      <c r="B117" s="65" t="s">
        <v>373</v>
      </c>
      <c r="C117" s="65" t="s">
        <v>69</v>
      </c>
      <c r="D117" s="65" t="s">
        <v>253</v>
      </c>
      <c r="E117" s="65">
        <v>-113.0</v>
      </c>
      <c r="F117" s="218">
        <v>34.8</v>
      </c>
      <c r="G117" s="219">
        <v>45350.0</v>
      </c>
      <c r="H117" s="67">
        <v>-0.06647352325768552</v>
      </c>
      <c r="I117" s="218">
        <f t="shared" si="1"/>
        <v>3932.4</v>
      </c>
    </row>
    <row r="118" ht="15.75" customHeight="1">
      <c r="A118" s="220" t="s">
        <v>374</v>
      </c>
      <c r="B118" s="65" t="s">
        <v>375</v>
      </c>
      <c r="C118" s="65" t="s">
        <v>69</v>
      </c>
      <c r="D118" s="65" t="s">
        <v>253</v>
      </c>
      <c r="E118" s="65">
        <v>-137.0</v>
      </c>
      <c r="F118" s="218">
        <v>29.517</v>
      </c>
      <c r="G118" s="219">
        <v>45350.0</v>
      </c>
      <c r="H118" s="67">
        <v>-0.03684004437773292</v>
      </c>
      <c r="I118" s="218">
        <f t="shared" si="1"/>
        <v>4043.829</v>
      </c>
    </row>
    <row r="119" ht="15.75" customHeight="1">
      <c r="A119" s="220" t="s">
        <v>408</v>
      </c>
      <c r="B119" s="65" t="s">
        <v>278</v>
      </c>
      <c r="C119" s="65" t="s">
        <v>69</v>
      </c>
      <c r="D119" s="65" t="s">
        <v>264</v>
      </c>
      <c r="E119" s="65">
        <v>75.0</v>
      </c>
      <c r="F119" s="218">
        <v>59.53</v>
      </c>
      <c r="G119" s="219">
        <v>45350.0</v>
      </c>
      <c r="H119" s="67" t="s">
        <v>278</v>
      </c>
      <c r="I119" s="218">
        <f t="shared" si="1"/>
        <v>-4464.75</v>
      </c>
    </row>
    <row r="120" ht="15.75" customHeight="1">
      <c r="A120" s="220" t="s">
        <v>293</v>
      </c>
      <c r="B120" s="65" t="s">
        <v>278</v>
      </c>
      <c r="C120" s="65" t="s">
        <v>69</v>
      </c>
      <c r="D120" s="65" t="s">
        <v>264</v>
      </c>
      <c r="E120" s="65">
        <v>81.0</v>
      </c>
      <c r="F120" s="218">
        <v>54.71</v>
      </c>
      <c r="G120" s="219">
        <v>45350.0</v>
      </c>
      <c r="H120" s="67" t="s">
        <v>278</v>
      </c>
      <c r="I120" s="218">
        <f t="shared" si="1"/>
        <v>-4431.51</v>
      </c>
    </row>
    <row r="121" ht="15.75" customHeight="1">
      <c r="A121" s="220" t="s">
        <v>302</v>
      </c>
      <c r="B121" s="65" t="s">
        <v>278</v>
      </c>
      <c r="C121" s="65" t="s">
        <v>69</v>
      </c>
      <c r="D121" s="65" t="s">
        <v>264</v>
      </c>
      <c r="E121" s="65">
        <v>33.0</v>
      </c>
      <c r="F121" s="218">
        <v>132.69</v>
      </c>
      <c r="G121" s="219">
        <v>45350.0</v>
      </c>
      <c r="H121" s="67" t="s">
        <v>278</v>
      </c>
      <c r="I121" s="218">
        <f t="shared" si="1"/>
        <v>-4378.77</v>
      </c>
    </row>
    <row r="122" ht="15.75" customHeight="1">
      <c r="A122" s="220" t="s">
        <v>269</v>
      </c>
      <c r="B122" s="65" t="s">
        <v>278</v>
      </c>
      <c r="C122" s="65" t="s">
        <v>69</v>
      </c>
      <c r="D122" s="65" t="s">
        <v>264</v>
      </c>
      <c r="E122" s="65">
        <v>109.0</v>
      </c>
      <c r="F122" s="218">
        <v>40.89</v>
      </c>
      <c r="G122" s="219">
        <v>45350.0</v>
      </c>
      <c r="H122" s="67" t="s">
        <v>278</v>
      </c>
      <c r="I122" s="218">
        <f t="shared" si="1"/>
        <v>-4457.01</v>
      </c>
    </row>
    <row r="123" ht="15.75" customHeight="1">
      <c r="A123" s="220" t="s">
        <v>378</v>
      </c>
      <c r="B123" s="65" t="s">
        <v>379</v>
      </c>
      <c r="C123" s="65" t="s">
        <v>69</v>
      </c>
      <c r="D123" s="65" t="s">
        <v>264</v>
      </c>
      <c r="E123" s="65">
        <v>31.0</v>
      </c>
      <c r="F123" s="218">
        <v>141.72</v>
      </c>
      <c r="G123" s="219">
        <v>45350.0</v>
      </c>
      <c r="H123" s="67" t="s">
        <v>278</v>
      </c>
      <c r="I123" s="218">
        <f t="shared" si="1"/>
        <v>-4393.32</v>
      </c>
    </row>
    <row r="124" ht="15.75" customHeight="1">
      <c r="A124" s="65" t="s">
        <v>117</v>
      </c>
      <c r="B124" s="65" t="s">
        <v>409</v>
      </c>
      <c r="C124" s="65" t="s">
        <v>83</v>
      </c>
      <c r="D124" s="65" t="s">
        <v>253</v>
      </c>
      <c r="E124" s="65">
        <v>-404.0</v>
      </c>
      <c r="F124" s="218">
        <v>43.539</v>
      </c>
      <c r="G124" s="219">
        <v>45338.0</v>
      </c>
      <c r="H124" s="67">
        <v>-0.4103602383531961</v>
      </c>
      <c r="I124" s="218">
        <f t="shared" si="1"/>
        <v>17589.756</v>
      </c>
    </row>
    <row r="125" ht="15.75" customHeight="1">
      <c r="A125" s="23" t="s">
        <v>100</v>
      </c>
      <c r="B125" s="23" t="s">
        <v>392</v>
      </c>
      <c r="C125" s="23" t="s">
        <v>77</v>
      </c>
      <c r="D125" s="23" t="s">
        <v>253</v>
      </c>
      <c r="E125" s="23">
        <v>-390.0</v>
      </c>
      <c r="F125" s="71">
        <v>64.49</v>
      </c>
      <c r="G125" s="50">
        <v>45345.0</v>
      </c>
      <c r="H125" s="19" t="str">
        <f>IF(OR(D125="Sell to Trim", D125="Sell to Close"),F125/VLOOKUP(A125, 'Sector Holdings'!$B$3:$M$121, 11, FALSE) - 1, "N/A")</f>
        <v>#N/A</v>
      </c>
      <c r="I125" s="71">
        <f t="shared" si="1"/>
        <v>25151.1</v>
      </c>
    </row>
    <row r="126" ht="15.75" customHeight="1">
      <c r="A126" s="18" t="s">
        <v>130</v>
      </c>
      <c r="B126" s="23" t="s">
        <v>213</v>
      </c>
      <c r="C126" s="23" t="s">
        <v>89</v>
      </c>
      <c r="D126" s="23" t="s">
        <v>260</v>
      </c>
      <c r="E126" s="23">
        <v>64.0</v>
      </c>
      <c r="F126" s="71">
        <v>135.57</v>
      </c>
      <c r="G126" s="50">
        <v>45359.0</v>
      </c>
      <c r="H126" s="19" t="s">
        <v>278</v>
      </c>
      <c r="I126" s="71">
        <f t="shared" si="1"/>
        <v>-8676.48</v>
      </c>
    </row>
    <row r="127" ht="15.75" customHeight="1">
      <c r="A127" s="18" t="s">
        <v>223</v>
      </c>
      <c r="B127" s="23" t="s">
        <v>224</v>
      </c>
      <c r="C127" s="23" t="s">
        <v>89</v>
      </c>
      <c r="D127" s="23" t="s">
        <v>260</v>
      </c>
      <c r="E127" s="23">
        <v>44.0</v>
      </c>
      <c r="F127" s="71">
        <v>99.63</v>
      </c>
      <c r="G127" s="50">
        <v>45359.0</v>
      </c>
      <c r="H127" s="19" t="s">
        <v>278</v>
      </c>
      <c r="I127" s="71">
        <f t="shared" si="1"/>
        <v>-4383.72</v>
      </c>
    </row>
    <row r="128" ht="15.75" customHeight="1">
      <c r="A128" s="18" t="s">
        <v>110</v>
      </c>
      <c r="B128" s="23" t="s">
        <v>193</v>
      </c>
      <c r="C128" s="23" t="s">
        <v>81</v>
      </c>
      <c r="D128" s="23" t="s">
        <v>260</v>
      </c>
      <c r="E128" s="23">
        <v>28.0</v>
      </c>
      <c r="F128" s="71">
        <v>481.05</v>
      </c>
      <c r="G128" s="50">
        <v>45359.0</v>
      </c>
      <c r="H128" s="19" t="s">
        <v>278</v>
      </c>
      <c r="I128" s="71">
        <f t="shared" si="1"/>
        <v>-13469.4</v>
      </c>
    </row>
    <row r="129" ht="15.75" customHeight="1">
      <c r="A129" s="18" t="s">
        <v>112</v>
      </c>
      <c r="B129" s="23" t="s">
        <v>195</v>
      </c>
      <c r="C129" s="23" t="s">
        <v>81</v>
      </c>
      <c r="D129" s="23" t="s">
        <v>260</v>
      </c>
      <c r="E129" s="23">
        <v>14.0</v>
      </c>
      <c r="F129" s="71">
        <v>228.82</v>
      </c>
      <c r="G129" s="50">
        <v>45359.0</v>
      </c>
      <c r="H129" s="19" t="s">
        <v>278</v>
      </c>
      <c r="I129" s="71">
        <f t="shared" si="1"/>
        <v>-3203.48</v>
      </c>
    </row>
    <row r="130" ht="15.75" customHeight="1">
      <c r="A130" s="18" t="s">
        <v>340</v>
      </c>
      <c r="B130" s="23" t="s">
        <v>341</v>
      </c>
      <c r="C130" s="23" t="s">
        <v>81</v>
      </c>
      <c r="D130" s="23" t="s">
        <v>260</v>
      </c>
      <c r="E130" s="23">
        <v>203.0</v>
      </c>
      <c r="F130" s="71">
        <v>16.38</v>
      </c>
      <c r="G130" s="50">
        <v>45359.0</v>
      </c>
      <c r="H130" s="19" t="s">
        <v>278</v>
      </c>
      <c r="I130" s="71">
        <f t="shared" si="1"/>
        <v>-3325.14</v>
      </c>
    </row>
    <row r="131" ht="15.75" customHeight="1">
      <c r="A131" s="23" t="s">
        <v>113</v>
      </c>
      <c r="B131" s="23" t="s">
        <v>410</v>
      </c>
      <c r="C131" s="23" t="s">
        <v>81</v>
      </c>
      <c r="D131" s="23" t="s">
        <v>253</v>
      </c>
      <c r="E131" s="23">
        <v>-949.0</v>
      </c>
      <c r="F131" s="71">
        <v>20.9958</v>
      </c>
      <c r="G131" s="50">
        <v>45345.0</v>
      </c>
      <c r="H131" s="19" t="str">
        <f>IF(OR(D131="Sell to Trim", D131="Sell to Close"),F131/VLOOKUP(A131, 'Sector Holdings'!$B$3:$M$121, 11, FALSE) - 1, "N/A")</f>
        <v>#N/A</v>
      </c>
      <c r="I131" s="71">
        <f t="shared" si="1"/>
        <v>19925.0142</v>
      </c>
    </row>
    <row r="132" ht="15.75" customHeight="1">
      <c r="A132" s="23" t="s">
        <v>129</v>
      </c>
      <c r="B132" s="23" t="s">
        <v>400</v>
      </c>
      <c r="C132" s="23" t="s">
        <v>89</v>
      </c>
      <c r="D132" s="23" t="s">
        <v>253</v>
      </c>
      <c r="E132" s="23">
        <v>-118.0</v>
      </c>
      <c r="F132" s="71">
        <v>110.6</v>
      </c>
      <c r="G132" s="50">
        <v>45359.0</v>
      </c>
      <c r="H132" s="19">
        <v>0.7091639622933086</v>
      </c>
      <c r="I132" s="71">
        <f t="shared" si="1"/>
        <v>13050.8</v>
      </c>
    </row>
    <row r="133" ht="15.75" customHeight="1">
      <c r="A133" s="18" t="s">
        <v>107</v>
      </c>
      <c r="B133" s="23" t="s">
        <v>396</v>
      </c>
      <c r="C133" s="23" t="s">
        <v>81</v>
      </c>
      <c r="D133" s="23" t="s">
        <v>253</v>
      </c>
      <c r="E133" s="23">
        <v>-223.0</v>
      </c>
      <c r="F133" s="71">
        <v>85.405</v>
      </c>
      <c r="G133" s="50">
        <v>45359.0</v>
      </c>
      <c r="H133" s="19">
        <v>-0.015844664669278585</v>
      </c>
      <c r="I133" s="71">
        <f t="shared" si="1"/>
        <v>19045.315</v>
      </c>
    </row>
    <row r="134" ht="15.75" customHeight="1">
      <c r="A134" s="65" t="s">
        <v>116</v>
      </c>
      <c r="B134" s="65" t="s">
        <v>404</v>
      </c>
      <c r="C134" s="65" t="s">
        <v>83</v>
      </c>
      <c r="D134" s="65" t="s">
        <v>261</v>
      </c>
      <c r="E134" s="65">
        <v>-40.0</v>
      </c>
      <c r="F134" s="218">
        <v>397.63</v>
      </c>
      <c r="G134" s="219">
        <v>45372.0</v>
      </c>
      <c r="H134" s="67">
        <v>0.021843599825251303</v>
      </c>
      <c r="I134" s="218">
        <f t="shared" si="1"/>
        <v>15905.2</v>
      </c>
    </row>
    <row r="135" ht="15.75" customHeight="1">
      <c r="A135" s="65" t="s">
        <v>114</v>
      </c>
      <c r="B135" s="65" t="s">
        <v>201</v>
      </c>
      <c r="C135" s="65" t="s">
        <v>83</v>
      </c>
      <c r="D135" s="65" t="s">
        <v>261</v>
      </c>
      <c r="E135" s="65">
        <v>-30.0</v>
      </c>
      <c r="F135" s="218">
        <v>236.62</v>
      </c>
      <c r="G135" s="219">
        <v>45372.0</v>
      </c>
      <c r="H135" s="67">
        <v>0.05379887770553138</v>
      </c>
      <c r="I135" s="218">
        <f t="shared" si="1"/>
        <v>7098.6</v>
      </c>
    </row>
    <row r="136" ht="15.75" customHeight="1">
      <c r="A136" s="220" t="s">
        <v>101</v>
      </c>
      <c r="B136" s="65" t="s">
        <v>394</v>
      </c>
      <c r="C136" s="65" t="s">
        <v>79</v>
      </c>
      <c r="D136" s="65" t="s">
        <v>253</v>
      </c>
      <c r="E136" s="65">
        <v>-279.0</v>
      </c>
      <c r="F136" s="218">
        <v>138.14</v>
      </c>
      <c r="G136" s="219">
        <v>45372.0</v>
      </c>
      <c r="H136" s="67">
        <v>1.5912586756706055</v>
      </c>
      <c r="I136" s="218">
        <f t="shared" si="1"/>
        <v>38541.06</v>
      </c>
    </row>
    <row r="137" ht="15.75" customHeight="1">
      <c r="A137" s="65" t="s">
        <v>118</v>
      </c>
      <c r="B137" s="65" t="s">
        <v>210</v>
      </c>
      <c r="C137" s="65" t="s">
        <v>85</v>
      </c>
      <c r="D137" s="65" t="s">
        <v>260</v>
      </c>
      <c r="E137" s="65">
        <v>21.0</v>
      </c>
      <c r="F137" s="218">
        <v>129.86</v>
      </c>
      <c r="G137" s="219">
        <v>45372.0</v>
      </c>
      <c r="H137" s="67" t="s">
        <v>278</v>
      </c>
      <c r="I137" s="218">
        <f t="shared" si="1"/>
        <v>-2727.06</v>
      </c>
    </row>
    <row r="138" ht="15.75" customHeight="1">
      <c r="A138" s="65" t="s">
        <v>271</v>
      </c>
      <c r="B138" s="65" t="s">
        <v>395</v>
      </c>
      <c r="C138" s="65" t="s">
        <v>85</v>
      </c>
      <c r="D138" s="65" t="s">
        <v>260</v>
      </c>
      <c r="E138" s="65">
        <v>192.0</v>
      </c>
      <c r="F138" s="218">
        <v>29.07</v>
      </c>
      <c r="G138" s="219">
        <v>45372.0</v>
      </c>
      <c r="H138" s="67" t="s">
        <v>278</v>
      </c>
      <c r="I138" s="218">
        <f t="shared" si="1"/>
        <v>-5581.44</v>
      </c>
    </row>
    <row r="139" ht="15.75" customHeight="1">
      <c r="A139" s="220" t="s">
        <v>119</v>
      </c>
      <c r="B139" s="65" t="s">
        <v>411</v>
      </c>
      <c r="C139" s="65" t="s">
        <v>85</v>
      </c>
      <c r="D139" s="65" t="s">
        <v>253</v>
      </c>
      <c r="E139" s="65">
        <v>-84.0</v>
      </c>
      <c r="F139" s="218">
        <v>99.45</v>
      </c>
      <c r="G139" s="219">
        <v>45372.0</v>
      </c>
      <c r="H139" s="67">
        <v>0.06511727535611</v>
      </c>
      <c r="I139" s="218">
        <f t="shared" si="1"/>
        <v>8353.8</v>
      </c>
    </row>
    <row r="140" ht="15.75" customHeight="1">
      <c r="A140" s="23" t="s">
        <v>408</v>
      </c>
      <c r="B140" s="23" t="s">
        <v>412</v>
      </c>
      <c r="C140" s="23" t="s">
        <v>69</v>
      </c>
      <c r="D140" s="23" t="s">
        <v>253</v>
      </c>
      <c r="E140" s="23">
        <v>-75.0</v>
      </c>
      <c r="F140" s="71">
        <v>60.47</v>
      </c>
      <c r="G140" s="50">
        <v>45392.0</v>
      </c>
      <c r="H140" s="19">
        <v>0.01579035780278848</v>
      </c>
      <c r="I140" s="71">
        <f t="shared" si="1"/>
        <v>4535.25</v>
      </c>
    </row>
    <row r="141" ht="15.75" customHeight="1">
      <c r="A141" s="23" t="s">
        <v>293</v>
      </c>
      <c r="B141" s="23" t="s">
        <v>294</v>
      </c>
      <c r="C141" s="23" t="s">
        <v>69</v>
      </c>
      <c r="D141" s="23" t="s">
        <v>253</v>
      </c>
      <c r="E141" s="23">
        <v>-81.0</v>
      </c>
      <c r="F141" s="71">
        <v>56.69</v>
      </c>
      <c r="G141" s="50">
        <v>45392.0</v>
      </c>
      <c r="H141" s="19">
        <v>0.03619082434655452</v>
      </c>
      <c r="I141" s="71">
        <f t="shared" si="1"/>
        <v>4591.89</v>
      </c>
    </row>
    <row r="142" ht="15.75" customHeight="1">
      <c r="A142" s="23" t="s">
        <v>302</v>
      </c>
      <c r="B142" s="23" t="s">
        <v>303</v>
      </c>
      <c r="C142" s="23" t="s">
        <v>69</v>
      </c>
      <c r="D142" s="23" t="s">
        <v>253</v>
      </c>
      <c r="E142" s="23">
        <v>-33.0</v>
      </c>
      <c r="F142" s="71">
        <v>143.77</v>
      </c>
      <c r="G142" s="50">
        <v>45392.0</v>
      </c>
      <c r="H142" s="19">
        <v>0.08350290149973638</v>
      </c>
      <c r="I142" s="71">
        <f t="shared" si="1"/>
        <v>4744.41</v>
      </c>
    </row>
    <row r="143" ht="15.75" customHeight="1">
      <c r="A143" s="23" t="s">
        <v>269</v>
      </c>
      <c r="B143" s="23" t="s">
        <v>413</v>
      </c>
      <c r="C143" s="23" t="s">
        <v>69</v>
      </c>
      <c r="D143" s="23" t="s">
        <v>253</v>
      </c>
      <c r="E143" s="23">
        <v>-109.0</v>
      </c>
      <c r="F143" s="71">
        <v>44.09</v>
      </c>
      <c r="G143" s="50">
        <v>45392.0</v>
      </c>
      <c r="H143" s="19">
        <v>0.0782587429689412</v>
      </c>
      <c r="I143" s="71">
        <f t="shared" si="1"/>
        <v>4805.81</v>
      </c>
    </row>
    <row r="144" ht="15.75" customHeight="1">
      <c r="A144" s="23" t="s">
        <v>378</v>
      </c>
      <c r="B144" s="23" t="s">
        <v>379</v>
      </c>
      <c r="C144" s="23" t="s">
        <v>69</v>
      </c>
      <c r="D144" s="23" t="s">
        <v>253</v>
      </c>
      <c r="E144" s="23">
        <v>-31.0</v>
      </c>
      <c r="F144" s="71">
        <v>164.54</v>
      </c>
      <c r="G144" s="50">
        <v>45392.0</v>
      </c>
      <c r="H144" s="19">
        <v>0.1610217329946373</v>
      </c>
      <c r="I144" s="71">
        <f t="shared" si="1"/>
        <v>5100.74</v>
      </c>
    </row>
    <row r="145" ht="15.75" customHeight="1">
      <c r="A145" s="23" t="s">
        <v>356</v>
      </c>
      <c r="B145" s="23" t="s">
        <v>357</v>
      </c>
      <c r="C145" s="23" t="s">
        <v>69</v>
      </c>
      <c r="D145" s="23" t="s">
        <v>264</v>
      </c>
      <c r="E145" s="23">
        <v>155.0</v>
      </c>
      <c r="F145" s="71">
        <v>29.62</v>
      </c>
      <c r="G145" s="50">
        <v>45392.0</v>
      </c>
      <c r="H145" s="19" t="s">
        <v>278</v>
      </c>
      <c r="I145" s="71">
        <f t="shared" si="1"/>
        <v>-4591.1</v>
      </c>
    </row>
    <row r="146" ht="15.75" customHeight="1">
      <c r="A146" s="23" t="s">
        <v>138</v>
      </c>
      <c r="B146" s="23" t="s">
        <v>301</v>
      </c>
      <c r="C146" s="23" t="s">
        <v>69</v>
      </c>
      <c r="D146" s="23" t="s">
        <v>264</v>
      </c>
      <c r="E146" s="23">
        <v>22.0</v>
      </c>
      <c r="F146" s="71">
        <v>212.55</v>
      </c>
      <c r="G146" s="50">
        <v>45392.0</v>
      </c>
      <c r="H146" s="19" t="s">
        <v>278</v>
      </c>
      <c r="I146" s="71">
        <f t="shared" si="1"/>
        <v>-4676.1</v>
      </c>
    </row>
    <row r="147" ht="15.75" customHeight="1">
      <c r="A147" s="23" t="s">
        <v>302</v>
      </c>
      <c r="B147" s="23" t="s">
        <v>303</v>
      </c>
      <c r="C147" s="23" t="s">
        <v>69</v>
      </c>
      <c r="D147" s="23" t="s">
        <v>264</v>
      </c>
      <c r="E147" s="23">
        <v>32.0</v>
      </c>
      <c r="F147" s="71">
        <v>144.05</v>
      </c>
      <c r="G147" s="50">
        <v>45392.0</v>
      </c>
      <c r="H147" s="19" t="s">
        <v>278</v>
      </c>
      <c r="I147" s="71">
        <f t="shared" si="1"/>
        <v>-4609.6</v>
      </c>
    </row>
    <row r="148" ht="15.75" customHeight="1">
      <c r="A148" s="23" t="s">
        <v>304</v>
      </c>
      <c r="B148" s="23" t="s">
        <v>305</v>
      </c>
      <c r="C148" s="23" t="s">
        <v>69</v>
      </c>
      <c r="D148" s="23" t="s">
        <v>264</v>
      </c>
      <c r="E148" s="23">
        <v>81.0</v>
      </c>
      <c r="F148" s="71">
        <v>56.76</v>
      </c>
      <c r="G148" s="50">
        <v>45392.0</v>
      </c>
      <c r="H148" s="19" t="s">
        <v>278</v>
      </c>
      <c r="I148" s="71">
        <f t="shared" si="1"/>
        <v>-4597.56</v>
      </c>
    </row>
    <row r="149" ht="15.75" customHeight="1">
      <c r="A149" s="23" t="s">
        <v>306</v>
      </c>
      <c r="B149" s="23" t="str">
        <f>IFERROR(VLOOKUP($A149, 'Sector Holdings'!$B$3:$C$130, 2, FALSE),"N/A")</f>
        <v>N/A</v>
      </c>
      <c r="C149" s="23" t="s">
        <v>69</v>
      </c>
      <c r="D149" s="23" t="s">
        <v>264</v>
      </c>
      <c r="E149" s="23">
        <v>15.0</v>
      </c>
      <c r="F149" s="71">
        <v>253.38</v>
      </c>
      <c r="G149" s="50">
        <v>45392.0</v>
      </c>
      <c r="H149" s="19" t="s">
        <v>278</v>
      </c>
      <c r="I149" s="71">
        <f t="shared" si="1"/>
        <v>-3800.7</v>
      </c>
    </row>
    <row r="150" ht="15.75" customHeight="1">
      <c r="A150" s="23" t="s">
        <v>241</v>
      </c>
      <c r="B150" s="23" t="str">
        <f>IFERROR(VLOOKUP($A150, 'Sector Holdings'!$B$3:$C$130, 2, FALSE),"N/A")</f>
        <v>Pultegroup Inc</v>
      </c>
      <c r="C150" s="23" t="s">
        <v>69</v>
      </c>
      <c r="D150" s="23" t="s">
        <v>264</v>
      </c>
      <c r="E150" s="23">
        <v>35.0</v>
      </c>
      <c r="F150" s="71">
        <v>109.92</v>
      </c>
      <c r="G150" s="50">
        <v>45392.0</v>
      </c>
      <c r="H150" s="19" t="s">
        <v>278</v>
      </c>
      <c r="I150" s="71">
        <f t="shared" si="1"/>
        <v>-3847.2</v>
      </c>
    </row>
    <row r="151" ht="15.75" customHeight="1">
      <c r="A151" s="23" t="s">
        <v>269</v>
      </c>
      <c r="B151" s="23" t="str">
        <f>IFERROR(VLOOKUP($A151, 'Sector Holdings'!$B$3:$C$130, 2, FALSE),"N/A")</f>
        <v>N/A</v>
      </c>
      <c r="C151" s="23" t="s">
        <v>69</v>
      </c>
      <c r="D151" s="23" t="s">
        <v>264</v>
      </c>
      <c r="E151" s="23">
        <v>87.0</v>
      </c>
      <c r="F151" s="71">
        <v>43.905</v>
      </c>
      <c r="G151" s="50">
        <v>45392.0</v>
      </c>
      <c r="H151" s="19" t="s">
        <v>278</v>
      </c>
      <c r="I151" s="71">
        <f t="shared" si="1"/>
        <v>-3819.735</v>
      </c>
    </row>
    <row r="152" ht="15.75" customHeight="1">
      <c r="A152" s="23" t="s">
        <v>308</v>
      </c>
      <c r="B152" s="23" t="str">
        <f>IFERROR(VLOOKUP($A152, 'Sector Holdings'!$B$3:$C$130, 2, FALSE),"N/A")</f>
        <v>N/A</v>
      </c>
      <c r="C152" s="23" t="s">
        <v>69</v>
      </c>
      <c r="D152" s="23" t="s">
        <v>264</v>
      </c>
      <c r="E152" s="23">
        <v>49.0</v>
      </c>
      <c r="F152" s="71">
        <v>78.865</v>
      </c>
      <c r="G152" s="50">
        <v>45392.0</v>
      </c>
      <c r="H152" s="19" t="s">
        <v>278</v>
      </c>
      <c r="I152" s="71">
        <f t="shared" si="1"/>
        <v>-3864.385</v>
      </c>
    </row>
    <row r="153" ht="15.75" customHeight="1">
      <c r="A153" s="23" t="s">
        <v>283</v>
      </c>
      <c r="B153" s="23" t="str">
        <f>IFERROR(VLOOKUP($A153, 'Sector Holdings'!$B$3:$C$130, 2, FALSE),"N/A")</f>
        <v>N/A</v>
      </c>
      <c r="C153" s="23" t="s">
        <v>69</v>
      </c>
      <c r="D153" s="23" t="s">
        <v>264</v>
      </c>
      <c r="E153" s="23">
        <v>96.0</v>
      </c>
      <c r="F153" s="71">
        <v>39.74</v>
      </c>
      <c r="G153" s="50">
        <v>45392.0</v>
      </c>
      <c r="H153" s="19" t="s">
        <v>278</v>
      </c>
      <c r="I153" s="71">
        <f t="shared" si="1"/>
        <v>-3815.04</v>
      </c>
    </row>
    <row r="154" ht="15.75" customHeight="1">
      <c r="A154" s="23" t="s">
        <v>325</v>
      </c>
      <c r="B154" s="23" t="str">
        <f>IFERROR(VLOOKUP($A154, 'Sector Holdings'!$B$3:$C$130, 2, FALSE),"N/A")</f>
        <v>N/A</v>
      </c>
      <c r="C154" s="23" t="s">
        <v>69</v>
      </c>
      <c r="D154" s="23" t="s">
        <v>264</v>
      </c>
      <c r="E154" s="23">
        <v>45.0</v>
      </c>
      <c r="F154" s="71">
        <v>85.45</v>
      </c>
      <c r="G154" s="50">
        <v>45392.0</v>
      </c>
      <c r="H154" s="19" t="s">
        <v>278</v>
      </c>
      <c r="I154" s="71">
        <f t="shared" si="1"/>
        <v>-3845.25</v>
      </c>
    </row>
    <row r="155" ht="15.75" customHeight="1">
      <c r="A155" s="23" t="s">
        <v>116</v>
      </c>
      <c r="B155" s="23" t="s">
        <v>404</v>
      </c>
      <c r="C155" s="23" t="s">
        <v>83</v>
      </c>
      <c r="D155" s="23" t="s">
        <v>253</v>
      </c>
      <c r="E155" s="23">
        <v>-41.0</v>
      </c>
      <c r="F155" s="71">
        <v>395.03</v>
      </c>
      <c r="G155" s="50">
        <v>45397.0</v>
      </c>
      <c r="H155" s="19">
        <v>0.015162028113997916</v>
      </c>
      <c r="I155" s="71">
        <f t="shared" si="1"/>
        <v>16196.23</v>
      </c>
    </row>
    <row r="156" ht="15.75" customHeight="1">
      <c r="A156" s="23" t="s">
        <v>114</v>
      </c>
      <c r="B156" s="23" t="s">
        <v>201</v>
      </c>
      <c r="C156" s="23" t="s">
        <v>83</v>
      </c>
      <c r="D156" s="23" t="s">
        <v>260</v>
      </c>
      <c r="E156" s="23">
        <v>17.0</v>
      </c>
      <c r="F156" s="71">
        <v>231.83</v>
      </c>
      <c r="G156" s="50">
        <v>45397.0</v>
      </c>
      <c r="H156" s="19" t="s">
        <v>278</v>
      </c>
      <c r="I156" s="71">
        <f t="shared" si="1"/>
        <v>-3941.11</v>
      </c>
    </row>
    <row r="157" ht="15.75" customHeight="1">
      <c r="A157" s="23" t="s">
        <v>115</v>
      </c>
      <c r="B157" s="23" t="s">
        <v>331</v>
      </c>
      <c r="C157" s="23" t="s">
        <v>83</v>
      </c>
      <c r="D157" s="23" t="s">
        <v>260</v>
      </c>
      <c r="E157" s="23">
        <v>6.0</v>
      </c>
      <c r="F157" s="71">
        <v>668.575</v>
      </c>
      <c r="G157" s="50">
        <v>45397.0</v>
      </c>
      <c r="H157" s="19" t="s">
        <v>278</v>
      </c>
      <c r="I157" s="71">
        <f t="shared" si="1"/>
        <v>-4011.45</v>
      </c>
    </row>
    <row r="158" ht="15.75" customHeight="1">
      <c r="A158" s="23" t="s">
        <v>329</v>
      </c>
      <c r="B158" s="23" t="s">
        <v>330</v>
      </c>
      <c r="C158" s="23" t="s">
        <v>83</v>
      </c>
      <c r="D158" s="23" t="s">
        <v>260</v>
      </c>
      <c r="E158" s="23">
        <v>23.0</v>
      </c>
      <c r="F158" s="71">
        <v>177.26</v>
      </c>
      <c r="G158" s="50">
        <v>45397.0</v>
      </c>
      <c r="H158" s="19" t="s">
        <v>278</v>
      </c>
      <c r="I158" s="71">
        <f t="shared" si="1"/>
        <v>-4076.98</v>
      </c>
    </row>
    <row r="159" ht="15.75" customHeight="1">
      <c r="A159" s="23" t="s">
        <v>203</v>
      </c>
      <c r="B159" s="23" t="s">
        <v>204</v>
      </c>
      <c r="C159" s="23" t="s">
        <v>83</v>
      </c>
      <c r="D159" s="23" t="s">
        <v>260</v>
      </c>
      <c r="E159" s="23">
        <v>26.0</v>
      </c>
      <c r="F159" s="71">
        <v>153.585</v>
      </c>
      <c r="G159" s="50">
        <v>45397.0</v>
      </c>
      <c r="H159" s="19" t="s">
        <v>278</v>
      </c>
      <c r="I159" s="71">
        <f t="shared" si="1"/>
        <v>-3993.21</v>
      </c>
    </row>
    <row r="160" ht="15.75" customHeight="1">
      <c r="A160" s="65" t="s">
        <v>93</v>
      </c>
      <c r="B160" s="65" t="s">
        <v>414</v>
      </c>
      <c r="C160" s="65" t="s">
        <v>72</v>
      </c>
      <c r="D160" s="65" t="s">
        <v>253</v>
      </c>
      <c r="E160" s="65">
        <v>-236.0</v>
      </c>
      <c r="F160" s="218">
        <v>161.68042372881357</v>
      </c>
      <c r="G160" s="219">
        <v>45401.0</v>
      </c>
      <c r="H160" s="67">
        <v>0.22661728039461004</v>
      </c>
      <c r="I160" s="218">
        <f t="shared" si="1"/>
        <v>38156.58</v>
      </c>
    </row>
    <row r="161" ht="15.75" customHeight="1">
      <c r="A161" s="65" t="s">
        <v>108</v>
      </c>
      <c r="B161" s="65" t="s">
        <v>397</v>
      </c>
      <c r="C161" s="65" t="s">
        <v>81</v>
      </c>
      <c r="D161" s="65" t="s">
        <v>253</v>
      </c>
      <c r="E161" s="65">
        <v>-77.0</v>
      </c>
      <c r="F161" s="218">
        <v>396.03649350649346</v>
      </c>
      <c r="G161" s="219">
        <v>45401.0</v>
      </c>
      <c r="H161" s="67">
        <v>0.6760611685068918</v>
      </c>
      <c r="I161" s="218">
        <f t="shared" si="1"/>
        <v>30494.81</v>
      </c>
    </row>
    <row r="162" ht="15.75" customHeight="1">
      <c r="A162" s="65" t="s">
        <v>127</v>
      </c>
      <c r="B162" s="65" t="s">
        <v>415</v>
      </c>
      <c r="C162" s="65" t="s">
        <v>87</v>
      </c>
      <c r="D162" s="65" t="s">
        <v>253</v>
      </c>
      <c r="E162" s="65">
        <v>-71.0</v>
      </c>
      <c r="F162" s="218">
        <v>604.9</v>
      </c>
      <c r="G162" s="219">
        <v>45401.0</v>
      </c>
      <c r="H162" s="67">
        <v>0.49609220419469713</v>
      </c>
      <c r="I162" s="218">
        <f t="shared" si="1"/>
        <v>42947.9</v>
      </c>
    </row>
    <row r="163" ht="15.75" customHeight="1">
      <c r="A163" s="65" t="s">
        <v>159</v>
      </c>
      <c r="B163" s="65" t="s">
        <v>160</v>
      </c>
      <c r="C163" s="65" t="s">
        <v>72</v>
      </c>
      <c r="D163" s="65" t="s">
        <v>260</v>
      </c>
      <c r="E163" s="65">
        <v>217.0</v>
      </c>
      <c r="F163" s="218">
        <v>117.62</v>
      </c>
      <c r="G163" s="219">
        <v>45401.0</v>
      </c>
      <c r="H163" s="67" t="s">
        <v>278</v>
      </c>
      <c r="I163" s="218">
        <f t="shared" si="1"/>
        <v>-25523.54</v>
      </c>
    </row>
    <row r="164" ht="15.75" customHeight="1">
      <c r="A164" s="65" t="s">
        <v>92</v>
      </c>
      <c r="B164" s="65" t="s">
        <v>156</v>
      </c>
      <c r="C164" s="65" t="s">
        <v>72</v>
      </c>
      <c r="D164" s="65" t="s">
        <v>260</v>
      </c>
      <c r="E164" s="65">
        <v>72.0</v>
      </c>
      <c r="F164" s="218">
        <v>176.85666666666668</v>
      </c>
      <c r="G164" s="219">
        <v>45401.0</v>
      </c>
      <c r="H164" s="67" t="s">
        <v>278</v>
      </c>
      <c r="I164" s="218">
        <f t="shared" si="1"/>
        <v>-12733.68</v>
      </c>
    </row>
    <row r="165" ht="15.75" customHeight="1">
      <c r="A165" s="65" t="s">
        <v>196</v>
      </c>
      <c r="B165" s="65" t="str">
        <f>IFERROR(VLOOKUP($A165, 'Sector Holdings'!$B$3:$C$130, 2, FALSE),"N/A")</f>
        <v>Royalty Pharma plc</v>
      </c>
      <c r="C165" s="65" t="s">
        <v>81</v>
      </c>
      <c r="D165" s="65" t="s">
        <v>264</v>
      </c>
      <c r="E165" s="65">
        <v>1091.0</v>
      </c>
      <c r="F165" s="218">
        <v>27.96</v>
      </c>
      <c r="G165" s="219">
        <v>45401.0</v>
      </c>
      <c r="H165" s="67" t="s">
        <v>278</v>
      </c>
      <c r="I165" s="218">
        <f t="shared" si="1"/>
        <v>-30504.36</v>
      </c>
    </row>
    <row r="166" ht="15.75" customHeight="1">
      <c r="A166" s="65" t="s">
        <v>274</v>
      </c>
      <c r="B166" s="65" t="str">
        <f>IFERROR(VLOOKUP($A166, 'Sector Holdings'!$B$3:$C$130, 2, FALSE),"N/A")</f>
        <v>N/A</v>
      </c>
      <c r="C166" s="65" t="s">
        <v>87</v>
      </c>
      <c r="D166" s="65" t="s">
        <v>264</v>
      </c>
      <c r="E166" s="65">
        <v>187.0</v>
      </c>
      <c r="F166" s="218">
        <v>229.115</v>
      </c>
      <c r="G166" s="219">
        <v>45401.0</v>
      </c>
      <c r="H166" s="67" t="s">
        <v>278</v>
      </c>
      <c r="I166" s="218">
        <f t="shared" si="1"/>
        <v>-42844.505</v>
      </c>
    </row>
    <row r="167" ht="15.75" customHeight="1">
      <c r="B167" s="23" t="str">
        <f>IFERROR(VLOOKUP($A167, 'Sector Holdings'!$B$3:$C$130, 2, FALSE),"N/A")</f>
        <v>N/A</v>
      </c>
      <c r="F167" s="71"/>
      <c r="G167" s="50"/>
      <c r="H167" s="19" t="str">
        <f>IF(OR(D167="Sell to Trim", D167="Sell to Close"),F167/VLOOKUP(A167, 'Sector Holdings'!$B$3:$M$121, 11, FALSE) - 1, "N/A")</f>
        <v>N/A</v>
      </c>
      <c r="I167" s="71">
        <f t="shared" si="1"/>
        <v>0</v>
      </c>
    </row>
    <row r="168" ht="15.75" customHeight="1">
      <c r="F168" s="71"/>
      <c r="G168" s="50"/>
      <c r="H168" s="19"/>
      <c r="I168" s="71"/>
    </row>
    <row r="169" ht="15.75" customHeight="1">
      <c r="F169" s="71"/>
      <c r="G169" s="50"/>
      <c r="H169" s="19"/>
      <c r="I169" s="71"/>
    </row>
    <row r="170" ht="15.75" customHeight="1">
      <c r="F170" s="71"/>
      <c r="G170" s="50"/>
      <c r="H170" s="19"/>
      <c r="I170" s="71"/>
    </row>
    <row r="171" ht="15.75" customHeight="1">
      <c r="F171" s="71"/>
      <c r="G171" s="50"/>
      <c r="H171" s="19"/>
      <c r="I171" s="71"/>
    </row>
    <row r="172" ht="15.75" customHeight="1">
      <c r="F172" s="71"/>
      <c r="G172" s="50"/>
      <c r="H172" s="19"/>
      <c r="I172" s="71"/>
    </row>
    <row r="173" ht="15.75" customHeight="1">
      <c r="F173" s="71"/>
      <c r="G173" s="50"/>
      <c r="H173" s="19"/>
      <c r="I173" s="71"/>
    </row>
    <row r="174" ht="15.75" customHeight="1">
      <c r="F174" s="71"/>
      <c r="G174" s="50"/>
      <c r="H174" s="19"/>
      <c r="I174" s="71"/>
    </row>
    <row r="175" ht="15.75" customHeight="1">
      <c r="F175" s="71"/>
      <c r="G175" s="50"/>
      <c r="H175" s="19"/>
      <c r="I175" s="71"/>
    </row>
    <row r="176" ht="15.75" customHeight="1">
      <c r="F176" s="71"/>
      <c r="G176" s="50"/>
      <c r="H176" s="19"/>
      <c r="I176" s="71"/>
    </row>
    <row r="177" ht="15.75" customHeight="1">
      <c r="F177" s="71"/>
      <c r="G177" s="50"/>
      <c r="H177" s="19"/>
      <c r="I177" s="71"/>
    </row>
    <row r="178" ht="15.75" customHeight="1">
      <c r="F178" s="71"/>
      <c r="G178" s="50"/>
      <c r="H178" s="19"/>
      <c r="I178" s="71"/>
    </row>
    <row r="179" ht="15.75" customHeight="1">
      <c r="F179" s="71"/>
      <c r="G179" s="50"/>
      <c r="H179" s="19"/>
      <c r="I179" s="71"/>
    </row>
    <row r="180" ht="15.75" customHeight="1">
      <c r="F180" s="71"/>
      <c r="G180" s="50"/>
      <c r="H180" s="19"/>
      <c r="I180" s="71"/>
    </row>
    <row r="181" ht="15.75" customHeight="1">
      <c r="F181" s="71"/>
      <c r="G181" s="50"/>
      <c r="H181" s="19"/>
      <c r="I181" s="71"/>
    </row>
    <row r="182" ht="15.75" customHeight="1">
      <c r="F182" s="71"/>
      <c r="G182" s="50"/>
      <c r="H182" s="19"/>
      <c r="I182" s="71"/>
    </row>
    <row r="183" ht="15.75" customHeight="1">
      <c r="F183" s="71"/>
      <c r="G183" s="50"/>
      <c r="H183" s="19"/>
      <c r="I183" s="71"/>
    </row>
    <row r="184" ht="15.75" customHeight="1">
      <c r="F184" s="71"/>
      <c r="G184" s="50"/>
      <c r="H184" s="19"/>
      <c r="I184" s="71"/>
    </row>
    <row r="185" ht="15.75" customHeight="1">
      <c r="F185" s="71"/>
      <c r="G185" s="50"/>
      <c r="H185" s="19"/>
      <c r="I185" s="71"/>
    </row>
    <row r="186" ht="15.75" customHeight="1">
      <c r="F186" s="71"/>
      <c r="G186" s="50"/>
      <c r="H186" s="19"/>
      <c r="I186" s="71"/>
    </row>
    <row r="187" ht="15.75" customHeight="1">
      <c r="F187" s="71"/>
      <c r="G187" s="50"/>
      <c r="H187" s="19"/>
      <c r="I187" s="71"/>
    </row>
    <row r="188" ht="15.75" customHeight="1">
      <c r="F188" s="71"/>
      <c r="G188" s="50"/>
      <c r="H188" s="19"/>
      <c r="I188" s="71"/>
    </row>
    <row r="189" ht="15.75" customHeight="1">
      <c r="F189" s="71"/>
      <c r="G189" s="50"/>
      <c r="H189" s="19"/>
      <c r="I189" s="71"/>
    </row>
    <row r="190" ht="15.75" customHeight="1">
      <c r="F190" s="71"/>
      <c r="G190" s="50"/>
      <c r="H190" s="19"/>
      <c r="I190" s="71"/>
    </row>
    <row r="191" ht="15.75" customHeight="1">
      <c r="F191" s="71"/>
      <c r="G191" s="50"/>
      <c r="H191" s="19"/>
      <c r="I191" s="71"/>
    </row>
    <row r="192" ht="15.75" customHeight="1">
      <c r="F192" s="71"/>
      <c r="G192" s="50"/>
      <c r="H192" s="19"/>
      <c r="I192" s="71"/>
    </row>
    <row r="193" ht="15.75" customHeight="1">
      <c r="F193" s="71"/>
      <c r="G193" s="50"/>
      <c r="H193" s="19"/>
      <c r="I193" s="71"/>
    </row>
    <row r="194" ht="15.75" customHeight="1">
      <c r="F194" s="71"/>
      <c r="G194" s="50"/>
      <c r="H194" s="19"/>
      <c r="I194" s="71"/>
    </row>
    <row r="195" ht="15.75" customHeight="1">
      <c r="F195" s="71"/>
      <c r="G195" s="50"/>
      <c r="H195" s="19"/>
      <c r="I195" s="71"/>
    </row>
    <row r="196" ht="15.75" customHeight="1">
      <c r="F196" s="71"/>
      <c r="G196" s="50"/>
      <c r="H196" s="19"/>
      <c r="I196" s="71"/>
    </row>
    <row r="197" ht="15.75" customHeight="1">
      <c r="F197" s="71"/>
      <c r="G197" s="50"/>
      <c r="H197" s="19"/>
      <c r="I197" s="71"/>
    </row>
    <row r="198" ht="15.75" customHeight="1">
      <c r="F198" s="71"/>
      <c r="G198" s="50"/>
      <c r="H198" s="19"/>
      <c r="I198" s="71"/>
    </row>
    <row r="199" ht="15.75" customHeight="1">
      <c r="F199" s="71"/>
      <c r="G199" s="50"/>
      <c r="H199" s="19"/>
      <c r="I199" s="71"/>
    </row>
    <row r="200" ht="15.75" customHeight="1">
      <c r="F200" s="71"/>
      <c r="G200" s="50"/>
      <c r="H200" s="19"/>
      <c r="I200" s="71"/>
    </row>
    <row r="201" ht="15.75" customHeight="1">
      <c r="F201" s="71"/>
      <c r="G201" s="50"/>
      <c r="H201" s="19"/>
      <c r="I201" s="71"/>
    </row>
    <row r="202" ht="15.75" customHeight="1">
      <c r="F202" s="71"/>
      <c r="G202" s="50"/>
      <c r="H202" s="19"/>
      <c r="I202" s="71"/>
    </row>
    <row r="203" ht="15.75" customHeight="1">
      <c r="F203" s="71"/>
      <c r="G203" s="50"/>
      <c r="H203" s="19"/>
      <c r="I203" s="71"/>
    </row>
    <row r="204" ht="15.75" customHeight="1">
      <c r="F204" s="71"/>
      <c r="G204" s="50"/>
      <c r="H204" s="19"/>
      <c r="I204" s="71"/>
    </row>
    <row r="205" ht="15.75" customHeight="1">
      <c r="F205" s="71"/>
      <c r="G205" s="50"/>
      <c r="H205" s="19"/>
      <c r="I205" s="71"/>
    </row>
    <row r="206" ht="15.75" customHeight="1">
      <c r="F206" s="71"/>
      <c r="G206" s="50"/>
      <c r="H206" s="19"/>
      <c r="I206" s="71"/>
    </row>
    <row r="207" ht="15.75" customHeight="1">
      <c r="F207" s="71"/>
      <c r="G207" s="50"/>
      <c r="H207" s="19"/>
      <c r="I207" s="71"/>
    </row>
    <row r="208" ht="15.75" customHeight="1">
      <c r="F208" s="71"/>
      <c r="G208" s="50"/>
      <c r="H208" s="19"/>
      <c r="I208" s="71"/>
    </row>
    <row r="209" ht="15.75" customHeight="1">
      <c r="F209" s="71"/>
      <c r="G209" s="50"/>
      <c r="H209" s="19"/>
      <c r="I209" s="71"/>
    </row>
    <row r="210" ht="15.75" customHeight="1">
      <c r="F210" s="71"/>
      <c r="G210" s="50"/>
      <c r="H210" s="19"/>
      <c r="I210" s="71"/>
    </row>
    <row r="211" ht="15.75" customHeight="1">
      <c r="F211" s="71"/>
      <c r="G211" s="50"/>
      <c r="H211" s="19"/>
      <c r="I211" s="71"/>
    </row>
    <row r="212" ht="15.75" customHeight="1">
      <c r="F212" s="71"/>
      <c r="G212" s="50"/>
      <c r="H212" s="19"/>
      <c r="I212" s="71"/>
    </row>
    <row r="213" ht="15.75" customHeight="1">
      <c r="F213" s="71"/>
      <c r="G213" s="50"/>
      <c r="H213" s="19"/>
      <c r="I213" s="71"/>
    </row>
    <row r="214" ht="15.75" customHeight="1">
      <c r="F214" s="71"/>
      <c r="G214" s="50"/>
      <c r="H214" s="19"/>
      <c r="I214" s="71"/>
    </row>
    <row r="215" ht="15.75" customHeight="1">
      <c r="F215" s="71"/>
      <c r="G215" s="50"/>
      <c r="H215" s="19"/>
      <c r="I215" s="71"/>
    </row>
    <row r="216" ht="15.75" customHeight="1">
      <c r="F216" s="71"/>
      <c r="G216" s="50"/>
      <c r="H216" s="19"/>
      <c r="I216" s="71"/>
    </row>
    <row r="217" ht="15.75" customHeight="1">
      <c r="F217" s="71"/>
      <c r="G217" s="50"/>
      <c r="H217" s="19"/>
      <c r="I217" s="71"/>
    </row>
    <row r="218" ht="15.75" customHeight="1">
      <c r="F218" s="71"/>
      <c r="G218" s="50"/>
      <c r="H218" s="19"/>
      <c r="I218" s="71"/>
    </row>
    <row r="219" ht="15.75" customHeight="1">
      <c r="F219" s="71"/>
      <c r="G219" s="50"/>
      <c r="H219" s="19"/>
      <c r="I219" s="71"/>
    </row>
    <row r="220" ht="15.75" customHeight="1">
      <c r="F220" s="71"/>
      <c r="G220" s="50"/>
      <c r="H220" s="19"/>
      <c r="I220" s="71"/>
    </row>
    <row r="221" ht="15.75" customHeight="1">
      <c r="F221" s="71"/>
      <c r="G221" s="50"/>
      <c r="H221" s="19"/>
      <c r="I221" s="71"/>
    </row>
    <row r="222" ht="15.75" customHeight="1">
      <c r="F222" s="71"/>
      <c r="G222" s="50"/>
      <c r="H222" s="19"/>
      <c r="I222" s="71"/>
    </row>
    <row r="223" ht="15.75" customHeight="1">
      <c r="F223" s="71"/>
      <c r="G223" s="50"/>
      <c r="H223" s="19"/>
      <c r="I223" s="71"/>
    </row>
    <row r="224" ht="15.75" customHeight="1">
      <c r="F224" s="71"/>
      <c r="G224" s="50"/>
      <c r="H224" s="19"/>
      <c r="I224" s="71"/>
    </row>
    <row r="225" ht="15.75" customHeight="1">
      <c r="F225" s="71"/>
      <c r="G225" s="50"/>
      <c r="H225" s="19"/>
      <c r="I225" s="71"/>
    </row>
    <row r="226" ht="15.75" customHeight="1">
      <c r="F226" s="71"/>
      <c r="G226" s="50"/>
      <c r="H226" s="19"/>
      <c r="I226" s="71"/>
    </row>
    <row r="227" ht="15.75" customHeight="1">
      <c r="F227" s="71"/>
      <c r="G227" s="50"/>
      <c r="H227" s="19"/>
      <c r="I227" s="71"/>
    </row>
    <row r="228" ht="15.75" customHeight="1">
      <c r="F228" s="71"/>
      <c r="G228" s="50"/>
      <c r="H228" s="19"/>
      <c r="I228" s="71"/>
    </row>
    <row r="229" ht="15.75" customHeight="1">
      <c r="F229" s="71"/>
      <c r="G229" s="50"/>
      <c r="H229" s="19"/>
      <c r="I229" s="71"/>
    </row>
    <row r="230" ht="15.75" customHeight="1">
      <c r="F230" s="71"/>
      <c r="G230" s="50"/>
      <c r="H230" s="19"/>
      <c r="I230" s="71"/>
    </row>
    <row r="231" ht="15.75" customHeight="1">
      <c r="F231" s="71"/>
      <c r="G231" s="50"/>
      <c r="H231" s="19"/>
      <c r="I231" s="71"/>
    </row>
    <row r="232" ht="15.75" customHeight="1">
      <c r="F232" s="71"/>
      <c r="G232" s="50"/>
      <c r="H232" s="19"/>
      <c r="I232" s="71"/>
    </row>
    <row r="233" ht="15.75" customHeight="1">
      <c r="F233" s="71"/>
      <c r="G233" s="50"/>
      <c r="H233" s="19"/>
      <c r="I233" s="71"/>
    </row>
    <row r="234" ht="15.75" customHeight="1">
      <c r="F234" s="71"/>
      <c r="G234" s="50"/>
      <c r="H234" s="19"/>
      <c r="I234" s="71"/>
    </row>
    <row r="235" ht="15.75" customHeight="1">
      <c r="F235" s="71"/>
      <c r="G235" s="50"/>
      <c r="H235" s="19"/>
      <c r="I235" s="71"/>
    </row>
    <row r="236" ht="15.75" customHeight="1">
      <c r="F236" s="71"/>
      <c r="G236" s="50"/>
      <c r="H236" s="19"/>
      <c r="I236" s="71"/>
    </row>
    <row r="237" ht="15.75" customHeight="1">
      <c r="F237" s="71"/>
      <c r="G237" s="50"/>
      <c r="H237" s="19"/>
      <c r="I237" s="71"/>
    </row>
    <row r="238" ht="15.75" customHeight="1">
      <c r="F238" s="71"/>
      <c r="G238" s="50"/>
      <c r="H238" s="19"/>
      <c r="I238" s="71"/>
    </row>
    <row r="239" ht="15.75" customHeight="1">
      <c r="F239" s="71"/>
      <c r="G239" s="50"/>
      <c r="H239" s="19"/>
      <c r="I239" s="71"/>
    </row>
    <row r="240" ht="15.75" customHeight="1">
      <c r="F240" s="71"/>
      <c r="G240" s="50"/>
      <c r="H240" s="19"/>
      <c r="I240" s="71"/>
    </row>
    <row r="241" ht="15.75" customHeight="1">
      <c r="F241" s="71"/>
      <c r="G241" s="50"/>
      <c r="H241" s="19"/>
      <c r="I241" s="71"/>
    </row>
    <row r="242" ht="15.75" customHeight="1">
      <c r="F242" s="71"/>
      <c r="G242" s="50"/>
      <c r="H242" s="19"/>
      <c r="I242" s="71"/>
    </row>
    <row r="243" ht="15.75" customHeight="1">
      <c r="F243" s="71"/>
      <c r="G243" s="50"/>
      <c r="H243" s="19"/>
      <c r="I243" s="71"/>
    </row>
    <row r="244" ht="15.75" customHeight="1">
      <c r="F244" s="71"/>
      <c r="G244" s="50"/>
      <c r="H244" s="19"/>
      <c r="I244" s="71"/>
    </row>
    <row r="245" ht="15.75" customHeight="1">
      <c r="F245" s="71"/>
      <c r="G245" s="50"/>
      <c r="H245" s="19"/>
      <c r="I245" s="71"/>
    </row>
    <row r="246" ht="15.75" customHeight="1">
      <c r="F246" s="71"/>
      <c r="G246" s="50"/>
      <c r="H246" s="19"/>
      <c r="I246" s="71"/>
    </row>
    <row r="247" ht="15.75" customHeight="1">
      <c r="F247" s="71"/>
      <c r="G247" s="50"/>
      <c r="H247" s="19"/>
      <c r="I247" s="71"/>
    </row>
    <row r="248" ht="15.75" customHeight="1">
      <c r="F248" s="71"/>
      <c r="G248" s="50"/>
      <c r="H248" s="19"/>
      <c r="I248" s="71"/>
    </row>
    <row r="249" ht="15.75" customHeight="1">
      <c r="F249" s="71"/>
      <c r="G249" s="50"/>
      <c r="H249" s="19"/>
      <c r="I249" s="71"/>
    </row>
    <row r="250" ht="15.75" customHeight="1">
      <c r="F250" s="71"/>
      <c r="G250" s="50"/>
      <c r="H250" s="19"/>
      <c r="I250" s="71"/>
    </row>
    <row r="251" ht="15.75" customHeight="1">
      <c r="F251" s="71"/>
      <c r="G251" s="50"/>
      <c r="H251" s="19"/>
      <c r="I251" s="71"/>
    </row>
    <row r="252" ht="15.75" customHeight="1">
      <c r="F252" s="71"/>
      <c r="G252" s="50"/>
      <c r="H252" s="19"/>
      <c r="I252" s="71"/>
    </row>
    <row r="253" ht="15.75" customHeight="1">
      <c r="F253" s="71"/>
      <c r="G253" s="50"/>
      <c r="H253" s="19"/>
      <c r="I253" s="71"/>
    </row>
    <row r="254" ht="15.75" customHeight="1">
      <c r="F254" s="71"/>
      <c r="G254" s="50"/>
      <c r="H254" s="19"/>
      <c r="I254" s="71"/>
    </row>
    <row r="255" ht="15.75" customHeight="1">
      <c r="F255" s="71"/>
      <c r="G255" s="50"/>
      <c r="H255" s="19"/>
      <c r="I255" s="71"/>
    </row>
    <row r="256" ht="15.75" customHeight="1">
      <c r="F256" s="71"/>
      <c r="G256" s="50"/>
      <c r="H256" s="19"/>
      <c r="I256" s="71"/>
    </row>
    <row r="257" ht="15.75" customHeight="1">
      <c r="F257" s="71"/>
      <c r="G257" s="50"/>
      <c r="H257" s="19"/>
      <c r="I257" s="71"/>
    </row>
    <row r="258" ht="15.75" customHeight="1">
      <c r="F258" s="71"/>
      <c r="G258" s="50"/>
      <c r="H258" s="19"/>
      <c r="I258" s="71"/>
    </row>
    <row r="259" ht="15.75" customHeight="1">
      <c r="F259" s="71"/>
      <c r="G259" s="50"/>
      <c r="H259" s="19"/>
      <c r="I259" s="71"/>
    </row>
    <row r="260" ht="15.75" customHeight="1">
      <c r="F260" s="71"/>
      <c r="G260" s="50"/>
      <c r="H260" s="19"/>
      <c r="I260" s="71"/>
    </row>
    <row r="261" ht="15.75" customHeight="1">
      <c r="F261" s="71"/>
      <c r="G261" s="50"/>
      <c r="H261" s="19"/>
      <c r="I261" s="71"/>
    </row>
    <row r="262" ht="15.75" customHeight="1">
      <c r="F262" s="71"/>
      <c r="G262" s="50"/>
      <c r="H262" s="19"/>
      <c r="I262" s="71"/>
    </row>
    <row r="263" ht="15.75" customHeight="1">
      <c r="F263" s="71"/>
      <c r="G263" s="50"/>
      <c r="H263" s="19"/>
      <c r="I263" s="71"/>
    </row>
    <row r="264" ht="15.75" customHeight="1">
      <c r="F264" s="71"/>
      <c r="G264" s="50"/>
      <c r="H264" s="19"/>
      <c r="I264" s="71"/>
    </row>
    <row r="265" ht="15.75" customHeight="1">
      <c r="F265" s="71"/>
      <c r="G265" s="50"/>
      <c r="H265" s="19"/>
      <c r="I265" s="71"/>
    </row>
    <row r="266" ht="15.75" customHeight="1">
      <c r="F266" s="71"/>
      <c r="G266" s="50"/>
      <c r="H266" s="19"/>
      <c r="I266" s="71"/>
    </row>
    <row r="267" ht="15.75" customHeight="1">
      <c r="F267" s="71"/>
      <c r="G267" s="50"/>
      <c r="H267" s="19"/>
      <c r="I267" s="71"/>
    </row>
    <row r="268" ht="15.75" customHeight="1">
      <c r="F268" s="71"/>
      <c r="G268" s="50"/>
      <c r="H268" s="19"/>
      <c r="I268" s="71"/>
    </row>
    <row r="269" ht="15.75" customHeight="1">
      <c r="F269" s="71"/>
      <c r="G269" s="50"/>
      <c r="H269" s="19"/>
      <c r="I269" s="71"/>
    </row>
    <row r="270" ht="15.75" customHeight="1">
      <c r="F270" s="71"/>
      <c r="G270" s="50"/>
      <c r="H270" s="19"/>
      <c r="I270" s="71"/>
    </row>
    <row r="271" ht="15.75" customHeight="1">
      <c r="F271" s="71"/>
      <c r="G271" s="50"/>
      <c r="H271" s="19"/>
      <c r="I271" s="71"/>
    </row>
    <row r="272" ht="15.75" customHeight="1">
      <c r="F272" s="71"/>
      <c r="G272" s="50"/>
      <c r="H272" s="19"/>
      <c r="I272" s="71"/>
    </row>
    <row r="273" ht="15.75" customHeight="1">
      <c r="F273" s="71"/>
      <c r="G273" s="50"/>
      <c r="H273" s="19"/>
      <c r="I273" s="71"/>
    </row>
    <row r="274" ht="15.75" customHeight="1">
      <c r="F274" s="71"/>
      <c r="G274" s="50"/>
      <c r="H274" s="19"/>
      <c r="I274" s="71"/>
    </row>
    <row r="275" ht="15.75" customHeight="1">
      <c r="F275" s="71"/>
      <c r="G275" s="50"/>
      <c r="H275" s="19"/>
      <c r="I275" s="71"/>
    </row>
    <row r="276" ht="15.75" customHeight="1">
      <c r="F276" s="71"/>
      <c r="G276" s="50"/>
      <c r="H276" s="19"/>
      <c r="I276" s="71"/>
    </row>
    <row r="277" ht="15.75" customHeight="1">
      <c r="F277" s="71"/>
      <c r="G277" s="50"/>
      <c r="H277" s="19"/>
      <c r="I277" s="71"/>
    </row>
    <row r="278" ht="15.75" customHeight="1">
      <c r="F278" s="71"/>
      <c r="G278" s="50"/>
      <c r="H278" s="19"/>
      <c r="I278" s="71"/>
    </row>
    <row r="279" ht="15.75" customHeight="1">
      <c r="F279" s="71"/>
      <c r="G279" s="50"/>
      <c r="H279" s="19"/>
      <c r="I279" s="71"/>
    </row>
    <row r="280" ht="15.75" customHeight="1">
      <c r="F280" s="71"/>
      <c r="G280" s="50"/>
      <c r="H280" s="19"/>
      <c r="I280" s="71"/>
    </row>
    <row r="281" ht="15.75" customHeight="1">
      <c r="F281" s="71"/>
      <c r="G281" s="50"/>
      <c r="H281" s="19"/>
      <c r="I281" s="71"/>
    </row>
    <row r="282" ht="15.75" customHeight="1">
      <c r="F282" s="71"/>
      <c r="G282" s="50"/>
      <c r="H282" s="19"/>
      <c r="I282" s="71"/>
    </row>
    <row r="283" ht="15.75" customHeight="1">
      <c r="F283" s="71"/>
      <c r="G283" s="50"/>
      <c r="H283" s="19"/>
      <c r="I283" s="71"/>
    </row>
    <row r="284" ht="15.75" customHeight="1">
      <c r="F284" s="71"/>
      <c r="G284" s="50"/>
      <c r="H284" s="19"/>
      <c r="I284" s="71"/>
    </row>
    <row r="285" ht="15.75" customHeight="1">
      <c r="F285" s="71"/>
      <c r="G285" s="50"/>
      <c r="H285" s="19"/>
      <c r="I285" s="71"/>
    </row>
    <row r="286" ht="15.75" customHeight="1">
      <c r="F286" s="71"/>
      <c r="G286" s="50"/>
      <c r="H286" s="19"/>
      <c r="I286" s="71"/>
    </row>
    <row r="287" ht="15.75" customHeight="1">
      <c r="F287" s="71"/>
      <c r="G287" s="50"/>
      <c r="H287" s="19"/>
      <c r="I287" s="71"/>
    </row>
    <row r="288" ht="15.75" customHeight="1">
      <c r="F288" s="71"/>
      <c r="G288" s="50"/>
      <c r="H288" s="19"/>
      <c r="I288" s="71"/>
    </row>
    <row r="289" ht="15.75" customHeight="1">
      <c r="F289" s="71"/>
      <c r="G289" s="50"/>
      <c r="H289" s="19"/>
      <c r="I289" s="71"/>
    </row>
    <row r="290" ht="15.75" customHeight="1">
      <c r="F290" s="71"/>
      <c r="G290" s="50"/>
      <c r="H290" s="19"/>
      <c r="I290" s="71"/>
    </row>
    <row r="291" ht="15.75" customHeight="1">
      <c r="F291" s="71"/>
      <c r="G291" s="50"/>
      <c r="H291" s="19"/>
      <c r="I291" s="71"/>
    </row>
    <row r="292" ht="15.75" customHeight="1">
      <c r="F292" s="71"/>
      <c r="G292" s="50"/>
      <c r="H292" s="19"/>
      <c r="I292" s="71"/>
    </row>
    <row r="293" ht="15.75" customHeight="1">
      <c r="F293" s="71"/>
      <c r="G293" s="50"/>
      <c r="H293" s="19"/>
      <c r="I293" s="71"/>
    </row>
    <row r="294" ht="15.75" customHeight="1">
      <c r="F294" s="71"/>
      <c r="G294" s="50"/>
      <c r="H294" s="19"/>
      <c r="I294" s="71"/>
    </row>
    <row r="295" ht="15.75" customHeight="1">
      <c r="F295" s="71"/>
      <c r="G295" s="50"/>
      <c r="H295" s="19"/>
      <c r="I295" s="71"/>
    </row>
    <row r="296" ht="15.75" customHeight="1">
      <c r="F296" s="71"/>
      <c r="G296" s="50"/>
      <c r="H296" s="19"/>
      <c r="I296" s="71"/>
    </row>
    <row r="297" ht="15.75" customHeight="1">
      <c r="F297" s="71"/>
      <c r="G297" s="50"/>
      <c r="H297" s="19"/>
      <c r="I297" s="71"/>
    </row>
    <row r="298" ht="15.75" customHeight="1">
      <c r="F298" s="71"/>
      <c r="G298" s="50"/>
      <c r="H298" s="19"/>
      <c r="I298" s="71"/>
    </row>
    <row r="299" ht="15.75" customHeight="1">
      <c r="F299" s="71"/>
      <c r="G299" s="50"/>
      <c r="H299" s="19"/>
      <c r="I299" s="71"/>
    </row>
    <row r="300" ht="15.75" customHeight="1">
      <c r="F300" s="71"/>
      <c r="G300" s="50"/>
      <c r="H300" s="19"/>
      <c r="I300" s="71"/>
    </row>
    <row r="301" ht="15.75" customHeight="1">
      <c r="F301" s="71"/>
      <c r="G301" s="50"/>
      <c r="H301" s="19"/>
      <c r="I301" s="71"/>
    </row>
    <row r="302" ht="15.75" customHeight="1">
      <c r="F302" s="71"/>
      <c r="G302" s="50"/>
      <c r="H302" s="19"/>
      <c r="I302" s="71"/>
    </row>
    <row r="303" ht="15.75" customHeight="1">
      <c r="F303" s="71"/>
      <c r="G303" s="50"/>
      <c r="H303" s="19"/>
      <c r="I303" s="71"/>
    </row>
    <row r="304" ht="15.75" customHeight="1">
      <c r="F304" s="71"/>
      <c r="G304" s="50"/>
      <c r="H304" s="19"/>
      <c r="I304" s="71"/>
    </row>
    <row r="305" ht="15.75" customHeight="1">
      <c r="F305" s="71"/>
      <c r="G305" s="50"/>
      <c r="H305" s="19"/>
      <c r="I305" s="71"/>
    </row>
    <row r="306" ht="15.75" customHeight="1">
      <c r="F306" s="71"/>
      <c r="G306" s="50"/>
      <c r="H306" s="19"/>
      <c r="I306" s="71"/>
    </row>
    <row r="307" ht="15.75" customHeight="1">
      <c r="F307" s="71"/>
      <c r="G307" s="50"/>
      <c r="H307" s="19"/>
      <c r="I307" s="71"/>
    </row>
    <row r="308" ht="15.75" customHeight="1">
      <c r="F308" s="71"/>
      <c r="G308" s="50"/>
      <c r="H308" s="19"/>
      <c r="I308" s="71"/>
    </row>
    <row r="309" ht="15.75" customHeight="1">
      <c r="F309" s="71"/>
      <c r="G309" s="50"/>
      <c r="H309" s="19"/>
      <c r="I309" s="71"/>
    </row>
    <row r="310" ht="15.75" customHeight="1">
      <c r="F310" s="71"/>
      <c r="G310" s="50"/>
      <c r="H310" s="19"/>
      <c r="I310" s="71"/>
    </row>
    <row r="311" ht="15.75" customHeight="1">
      <c r="F311" s="71"/>
      <c r="G311" s="50"/>
      <c r="H311" s="19"/>
      <c r="I311" s="71"/>
    </row>
    <row r="312" ht="15.75" customHeight="1">
      <c r="F312" s="71"/>
      <c r="G312" s="50"/>
      <c r="H312" s="19"/>
      <c r="I312" s="71"/>
    </row>
    <row r="313" ht="15.75" customHeight="1">
      <c r="F313" s="71"/>
      <c r="G313" s="50"/>
      <c r="H313" s="19"/>
      <c r="I313" s="71"/>
    </row>
    <row r="314" ht="15.75" customHeight="1">
      <c r="F314" s="71"/>
      <c r="G314" s="50"/>
      <c r="H314" s="19"/>
      <c r="I314" s="71"/>
    </row>
    <row r="315" ht="15.75" customHeight="1">
      <c r="F315" s="71"/>
      <c r="G315" s="50"/>
      <c r="H315" s="19"/>
      <c r="I315" s="71"/>
    </row>
    <row r="316" ht="15.75" customHeight="1">
      <c r="F316" s="71"/>
      <c r="G316" s="50"/>
      <c r="H316" s="19"/>
      <c r="I316" s="71"/>
    </row>
    <row r="317" ht="15.75" customHeight="1">
      <c r="F317" s="71"/>
      <c r="G317" s="50"/>
      <c r="H317" s="19"/>
      <c r="I317" s="71"/>
    </row>
    <row r="318" ht="15.75" customHeight="1">
      <c r="F318" s="71"/>
      <c r="G318" s="50"/>
      <c r="H318" s="19"/>
      <c r="I318" s="71"/>
    </row>
    <row r="319" ht="15.75" customHeight="1">
      <c r="F319" s="71"/>
      <c r="G319" s="50"/>
      <c r="H319" s="19"/>
      <c r="I319" s="71"/>
    </row>
    <row r="320" ht="15.75" customHeight="1">
      <c r="F320" s="71"/>
      <c r="G320" s="50"/>
      <c r="H320" s="19"/>
      <c r="I320" s="71"/>
    </row>
    <row r="321" ht="15.75" customHeight="1">
      <c r="F321" s="71"/>
      <c r="G321" s="50"/>
      <c r="H321" s="19"/>
      <c r="I321" s="71"/>
    </row>
    <row r="322" ht="15.75" customHeight="1">
      <c r="F322" s="71"/>
      <c r="G322" s="50"/>
      <c r="H322" s="19"/>
      <c r="I322" s="71"/>
    </row>
    <row r="323" ht="15.75" customHeight="1">
      <c r="F323" s="71"/>
      <c r="G323" s="50"/>
      <c r="H323" s="19"/>
      <c r="I323" s="71"/>
    </row>
    <row r="324" ht="15.75" customHeight="1">
      <c r="F324" s="71"/>
      <c r="G324" s="50"/>
      <c r="H324" s="19"/>
      <c r="I324" s="71"/>
    </row>
    <row r="325" ht="15.75" customHeight="1">
      <c r="F325" s="71"/>
      <c r="G325" s="50"/>
      <c r="H325" s="19"/>
      <c r="I325" s="71"/>
    </row>
    <row r="326" ht="15.75" customHeight="1">
      <c r="F326" s="71"/>
      <c r="G326" s="50"/>
      <c r="H326" s="19"/>
      <c r="I326" s="71"/>
    </row>
    <row r="327" ht="15.75" customHeight="1">
      <c r="F327" s="71"/>
      <c r="G327" s="50"/>
      <c r="H327" s="19"/>
      <c r="I327" s="71"/>
    </row>
    <row r="328" ht="15.75" customHeight="1">
      <c r="F328" s="71"/>
      <c r="G328" s="50"/>
      <c r="H328" s="19"/>
      <c r="I328" s="71"/>
    </row>
    <row r="329" ht="15.75" customHeight="1">
      <c r="F329" s="71"/>
      <c r="G329" s="50"/>
      <c r="H329" s="19"/>
      <c r="I329" s="71"/>
    </row>
    <row r="330" ht="15.75" customHeight="1">
      <c r="F330" s="71"/>
      <c r="G330" s="50"/>
      <c r="H330" s="19"/>
      <c r="I330" s="71"/>
    </row>
    <row r="331" ht="15.75" customHeight="1">
      <c r="F331" s="71"/>
      <c r="G331" s="50"/>
      <c r="H331" s="19"/>
      <c r="I331" s="71"/>
    </row>
    <row r="332" ht="15.75" customHeight="1">
      <c r="F332" s="71"/>
      <c r="G332" s="50"/>
      <c r="H332" s="19"/>
      <c r="I332" s="71"/>
    </row>
    <row r="333" ht="15.75" customHeight="1">
      <c r="F333" s="71"/>
      <c r="G333" s="50"/>
      <c r="H333" s="19"/>
      <c r="I333" s="71"/>
    </row>
    <row r="334" ht="15.75" customHeight="1">
      <c r="F334" s="71"/>
      <c r="G334" s="50"/>
      <c r="H334" s="19"/>
      <c r="I334" s="71"/>
    </row>
    <row r="335" ht="15.75" customHeight="1">
      <c r="F335" s="71"/>
      <c r="G335" s="50"/>
      <c r="H335" s="19"/>
      <c r="I335" s="71"/>
    </row>
    <row r="336" ht="15.75" customHeight="1">
      <c r="F336" s="71"/>
      <c r="G336" s="50"/>
      <c r="H336" s="19"/>
      <c r="I336" s="71"/>
    </row>
    <row r="337" ht="15.75" customHeight="1">
      <c r="F337" s="71"/>
      <c r="G337" s="50"/>
      <c r="H337" s="19"/>
      <c r="I337" s="71"/>
    </row>
    <row r="338" ht="15.75" customHeight="1">
      <c r="F338" s="71"/>
      <c r="G338" s="50"/>
      <c r="H338" s="19"/>
      <c r="I338" s="71"/>
    </row>
    <row r="339" ht="15.75" customHeight="1">
      <c r="F339" s="71"/>
      <c r="G339" s="50"/>
      <c r="H339" s="19"/>
      <c r="I339" s="71"/>
    </row>
    <row r="340" ht="15.75" customHeight="1">
      <c r="F340" s="71"/>
      <c r="G340" s="50"/>
      <c r="H340" s="19"/>
      <c r="I340" s="71"/>
    </row>
    <row r="341" ht="15.75" customHeight="1">
      <c r="F341" s="71"/>
      <c r="G341" s="50"/>
      <c r="H341" s="19"/>
      <c r="I341" s="71"/>
    </row>
    <row r="342" ht="15.75" customHeight="1">
      <c r="F342" s="71"/>
      <c r="G342" s="50"/>
      <c r="H342" s="19"/>
      <c r="I342" s="71"/>
    </row>
    <row r="343" ht="15.75" customHeight="1">
      <c r="F343" s="71"/>
      <c r="G343" s="50"/>
      <c r="H343" s="19"/>
      <c r="I343" s="71"/>
    </row>
    <row r="344" ht="15.75" customHeight="1">
      <c r="F344" s="71"/>
      <c r="G344" s="50"/>
      <c r="H344" s="19"/>
      <c r="I344" s="71"/>
    </row>
    <row r="345" ht="15.75" customHeight="1">
      <c r="F345" s="71"/>
      <c r="G345" s="50"/>
      <c r="H345" s="19"/>
      <c r="I345" s="71"/>
    </row>
    <row r="346" ht="15.75" customHeight="1">
      <c r="F346" s="71"/>
      <c r="G346" s="50"/>
      <c r="H346" s="19"/>
      <c r="I346" s="71"/>
    </row>
    <row r="347" ht="15.75" customHeight="1">
      <c r="F347" s="71"/>
      <c r="G347" s="50"/>
      <c r="H347" s="19"/>
      <c r="I347" s="71"/>
    </row>
    <row r="348" ht="15.75" customHeight="1">
      <c r="F348" s="71"/>
      <c r="G348" s="50"/>
      <c r="H348" s="19"/>
      <c r="I348" s="71"/>
    </row>
    <row r="349" ht="15.75" customHeight="1">
      <c r="F349" s="71"/>
      <c r="G349" s="50"/>
      <c r="H349" s="19"/>
      <c r="I349" s="71"/>
    </row>
    <row r="350" ht="15.75" customHeight="1">
      <c r="F350" s="71"/>
      <c r="G350" s="50"/>
      <c r="H350" s="19"/>
      <c r="I350" s="71"/>
    </row>
    <row r="351" ht="15.75" customHeight="1">
      <c r="F351" s="71"/>
      <c r="G351" s="50"/>
      <c r="H351" s="19"/>
      <c r="I351" s="71"/>
    </row>
    <row r="352" ht="15.75" customHeight="1">
      <c r="F352" s="71"/>
      <c r="G352" s="50"/>
      <c r="H352" s="19"/>
      <c r="I352" s="71"/>
    </row>
    <row r="353" ht="15.75" customHeight="1">
      <c r="F353" s="71"/>
      <c r="G353" s="50"/>
      <c r="H353" s="19"/>
      <c r="I353" s="71"/>
    </row>
    <row r="354" ht="15.75" customHeight="1">
      <c r="F354" s="71"/>
      <c r="G354" s="50"/>
      <c r="H354" s="19"/>
      <c r="I354" s="71"/>
    </row>
    <row r="355" ht="15.75" customHeight="1">
      <c r="F355" s="71"/>
      <c r="G355" s="50"/>
      <c r="H355" s="19"/>
      <c r="I355" s="71"/>
    </row>
    <row r="356" ht="15.75" customHeight="1">
      <c r="F356" s="71"/>
      <c r="G356" s="50"/>
      <c r="H356" s="19"/>
      <c r="I356" s="71"/>
    </row>
    <row r="357" ht="15.75" customHeight="1">
      <c r="F357" s="71"/>
      <c r="G357" s="50"/>
      <c r="H357" s="19"/>
      <c r="I357" s="71"/>
    </row>
    <row r="358" ht="15.75" customHeight="1">
      <c r="F358" s="71"/>
      <c r="G358" s="50"/>
      <c r="H358" s="19"/>
      <c r="I358" s="71"/>
    </row>
    <row r="359" ht="15.75" customHeight="1">
      <c r="F359" s="71"/>
      <c r="G359" s="50"/>
      <c r="H359" s="19"/>
      <c r="I359" s="71"/>
    </row>
    <row r="360" ht="15.75" customHeight="1">
      <c r="F360" s="71"/>
      <c r="G360" s="50"/>
      <c r="H360" s="19"/>
      <c r="I360" s="71"/>
    </row>
    <row r="361" ht="15.75" customHeight="1">
      <c r="F361" s="71"/>
      <c r="G361" s="50"/>
      <c r="H361" s="19"/>
      <c r="I361" s="71"/>
    </row>
    <row r="362" ht="15.75" customHeight="1">
      <c r="F362" s="71"/>
      <c r="G362" s="50"/>
      <c r="H362" s="19"/>
      <c r="I362" s="71"/>
    </row>
    <row r="363" ht="15.75" customHeight="1">
      <c r="F363" s="71"/>
      <c r="G363" s="50"/>
      <c r="H363" s="19"/>
      <c r="I363" s="71"/>
    </row>
    <row r="364" ht="15.75" customHeight="1">
      <c r="F364" s="71"/>
      <c r="G364" s="50"/>
      <c r="H364" s="19"/>
      <c r="I364" s="71"/>
    </row>
    <row r="365" ht="15.75" customHeight="1">
      <c r="F365" s="71"/>
      <c r="G365" s="50"/>
      <c r="H365" s="19"/>
      <c r="I365" s="71"/>
    </row>
    <row r="366" ht="15.75" customHeight="1">
      <c r="F366" s="71"/>
      <c r="G366" s="50"/>
      <c r="H366" s="19"/>
      <c r="I366" s="71"/>
    </row>
    <row r="367" ht="15.75" customHeight="1">
      <c r="F367" s="71"/>
      <c r="G367" s="50"/>
      <c r="H367" s="19"/>
      <c r="I367" s="7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6" width="12.63"/>
    <col customWidth="1" min="9" max="9" width="2.5"/>
  </cols>
  <sheetData>
    <row r="1" ht="53.25" customHeight="1">
      <c r="A1" s="222" t="s">
        <v>61</v>
      </c>
      <c r="B1" s="1" t="s">
        <v>416</v>
      </c>
      <c r="C1" s="1" t="s">
        <v>417</v>
      </c>
      <c r="D1" s="1" t="s">
        <v>418</v>
      </c>
      <c r="E1" s="1" t="s">
        <v>419</v>
      </c>
      <c r="F1" s="1"/>
      <c r="G1" s="1"/>
      <c r="H1" s="1"/>
      <c r="I1" s="2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11" t="s">
        <v>72</v>
      </c>
      <c r="B2" s="19">
        <f>'Sector Holdings'!I8</f>
        <v>0.07368027255</v>
      </c>
      <c r="C2" s="101">
        <v>0.08</v>
      </c>
      <c r="D2" s="19">
        <f t="shared" ref="D2:D16" si="1">B2-C2</f>
        <v>-0.006319727451</v>
      </c>
      <c r="E2" s="223">
        <f>D2*'Sector Holdings'!$H$121</f>
        <v>-16846.4192</v>
      </c>
      <c r="F2" s="19"/>
      <c r="G2" s="19"/>
      <c r="H2" s="30"/>
      <c r="I2" s="19"/>
      <c r="J2" s="19"/>
      <c r="K2" s="19"/>
    </row>
    <row r="3" ht="15.75" customHeight="1">
      <c r="A3" s="111" t="s">
        <v>74</v>
      </c>
      <c r="B3" s="19">
        <f>'Sector Holdings'!I15</f>
        <v>0.05200547852</v>
      </c>
      <c r="C3" s="101">
        <v>0.06</v>
      </c>
      <c r="D3" s="19">
        <f t="shared" si="1"/>
        <v>-0.00799452148</v>
      </c>
      <c r="E3" s="223">
        <f>D3*'Sector Holdings'!$H$121</f>
        <v>-21310.8969</v>
      </c>
      <c r="F3" s="19"/>
      <c r="G3" s="19"/>
      <c r="H3" s="30"/>
      <c r="I3" s="19"/>
      <c r="J3" s="19"/>
      <c r="K3" s="19"/>
    </row>
    <row r="4" ht="15.75" customHeight="1">
      <c r="A4" s="111" t="s">
        <v>77</v>
      </c>
      <c r="B4" s="19">
        <f>'Sector Holdings'!I23</f>
        <v>0.05790779052</v>
      </c>
      <c r="C4" s="101">
        <v>0.05</v>
      </c>
      <c r="D4" s="19">
        <f t="shared" si="1"/>
        <v>0.007907790521</v>
      </c>
      <c r="E4" s="223">
        <f>D4*'Sector Holdings'!$H$121</f>
        <v>21079.69925</v>
      </c>
      <c r="F4" s="19"/>
      <c r="G4" s="19"/>
      <c r="H4" s="30"/>
      <c r="I4" s="19"/>
      <c r="J4" s="19"/>
      <c r="K4" s="19"/>
    </row>
    <row r="5" ht="15.75" customHeight="1">
      <c r="A5" s="111" t="s">
        <v>79</v>
      </c>
      <c r="B5" s="19">
        <f>'Sector Holdings'!I33</f>
        <v>0.1141272718</v>
      </c>
      <c r="C5" s="101">
        <v>0.11</v>
      </c>
      <c r="D5" s="19">
        <f t="shared" si="1"/>
        <v>0.004127271796</v>
      </c>
      <c r="E5" s="223">
        <f>D5*'Sector Holdings'!$H$121</f>
        <v>11002.01731</v>
      </c>
      <c r="F5" s="224"/>
      <c r="G5" s="19"/>
      <c r="H5" s="30"/>
      <c r="I5" s="19"/>
      <c r="J5" s="19"/>
      <c r="K5" s="19"/>
    </row>
    <row r="6" ht="15.75" customHeight="1">
      <c r="A6" s="111" t="s">
        <v>81</v>
      </c>
      <c r="B6" s="19">
        <f>'Sector Holdings'!I42</f>
        <v>0.09890870503</v>
      </c>
      <c r="C6" s="101">
        <v>0.105</v>
      </c>
      <c r="D6" s="19">
        <f t="shared" si="1"/>
        <v>-0.006091294974</v>
      </c>
      <c r="E6" s="223">
        <f>D6*'Sector Holdings'!$H$121</f>
        <v>-16237.48957</v>
      </c>
      <c r="F6" s="19"/>
      <c r="H6" s="30"/>
      <c r="I6" s="19"/>
      <c r="J6" s="19"/>
      <c r="K6" s="19"/>
    </row>
    <row r="7" ht="15.75" customHeight="1">
      <c r="A7" s="111" t="s">
        <v>83</v>
      </c>
      <c r="B7" s="19">
        <f>'Sector Holdings'!I50</f>
        <v>0.07928550923</v>
      </c>
      <c r="C7" s="101">
        <v>0.075</v>
      </c>
      <c r="D7" s="19">
        <f t="shared" si="1"/>
        <v>0.00428550923</v>
      </c>
      <c r="E7" s="223">
        <f>D7*'Sector Holdings'!$H$121</f>
        <v>11423.82888</v>
      </c>
      <c r="F7" s="19"/>
      <c r="G7" s="19"/>
      <c r="H7" s="30"/>
      <c r="I7" s="19"/>
      <c r="J7" s="19"/>
      <c r="K7" s="19"/>
    </row>
    <row r="8" ht="15.75" customHeight="1">
      <c r="A8" s="111" t="s">
        <v>85</v>
      </c>
      <c r="B8" s="19">
        <f>'Sector Holdings'!I56</f>
        <v>0.01605977</v>
      </c>
      <c r="C8" s="101">
        <v>0.03</v>
      </c>
      <c r="D8" s="19">
        <f t="shared" si="1"/>
        <v>-0.01394023</v>
      </c>
      <c r="E8" s="223">
        <f>D8*'Sector Holdings'!$H$121</f>
        <v>-37160.29845</v>
      </c>
      <c r="F8" s="19"/>
      <c r="G8" s="19"/>
      <c r="H8" s="30"/>
      <c r="I8" s="19"/>
      <c r="J8" s="19"/>
      <c r="K8" s="19"/>
    </row>
    <row r="9" ht="15.75" customHeight="1">
      <c r="A9" s="111" t="s">
        <v>87</v>
      </c>
      <c r="B9" s="19">
        <f>'Sector Holdings'!I66</f>
        <v>0.2096609021</v>
      </c>
      <c r="C9" s="101">
        <v>0.19</v>
      </c>
      <c r="D9" s="19">
        <f t="shared" si="1"/>
        <v>0.01966090207</v>
      </c>
      <c r="E9" s="223">
        <f>D9*'Sector Holdings'!$H$121</f>
        <v>52409.82316</v>
      </c>
      <c r="F9" s="19"/>
      <c r="G9" s="19"/>
      <c r="H9" s="30"/>
      <c r="I9" s="19"/>
      <c r="J9" s="19"/>
      <c r="K9" s="19"/>
    </row>
    <row r="10" ht="15.75" customHeight="1">
      <c r="A10" s="225" t="s">
        <v>337</v>
      </c>
      <c r="B10" s="19">
        <f>'Sector Holdings'!I72</f>
        <v>0.0613112951</v>
      </c>
      <c r="C10" s="101">
        <v>0.055</v>
      </c>
      <c r="D10" s="19">
        <f t="shared" si="1"/>
        <v>0.006311295098</v>
      </c>
      <c r="E10" s="223">
        <f>D10*'Sector Holdings'!$H$121</f>
        <v>16823.94118</v>
      </c>
      <c r="F10" s="19"/>
      <c r="G10" s="19"/>
      <c r="H10" s="30"/>
      <c r="I10" s="19"/>
      <c r="J10" s="19"/>
      <c r="K10" s="19"/>
    </row>
    <row r="11" ht="15.75" customHeight="1">
      <c r="A11" s="111" t="s">
        <v>91</v>
      </c>
      <c r="B11" s="19">
        <f>'Sector Holdings'!I79</f>
        <v>0.02730606527</v>
      </c>
      <c r="C11" s="101">
        <v>0.025</v>
      </c>
      <c r="D11" s="19">
        <f t="shared" si="1"/>
        <v>0.002306065269</v>
      </c>
      <c r="E11" s="223">
        <f>D11*'Sector Holdings'!$H$121</f>
        <v>6147.249626</v>
      </c>
      <c r="F11" s="19"/>
      <c r="G11" s="19"/>
      <c r="H11" s="30"/>
      <c r="I11" s="19"/>
      <c r="J11" s="19"/>
      <c r="K11" s="19"/>
    </row>
    <row r="12" ht="15.75" customHeight="1">
      <c r="A12" s="111" t="s">
        <v>69</v>
      </c>
      <c r="B12" s="19">
        <f>'Sector Holdings'!I98</f>
        <v>0.02007599079</v>
      </c>
      <c r="C12" s="101">
        <v>0.02</v>
      </c>
      <c r="D12" s="19">
        <f t="shared" si="1"/>
        <v>0.00007599078743</v>
      </c>
      <c r="E12" s="223">
        <f>D12*'Sector Holdings'!$H$121</f>
        <v>202.5677009</v>
      </c>
      <c r="F12" s="19"/>
      <c r="G12" s="19"/>
      <c r="H12" s="30"/>
      <c r="I12" s="19"/>
      <c r="J12" s="19"/>
      <c r="K12" s="19"/>
    </row>
    <row r="13" ht="15.75" customHeight="1">
      <c r="A13" s="226" t="s">
        <v>70</v>
      </c>
      <c r="B13" s="19">
        <f t="shared" ref="B13:C13" si="2">SUM(B2:B12)</f>
        <v>0.8103290509</v>
      </c>
      <c r="C13" s="19">
        <f t="shared" si="2"/>
        <v>0.8</v>
      </c>
      <c r="D13" s="19">
        <f t="shared" si="1"/>
        <v>0.01032905087</v>
      </c>
      <c r="E13" s="223">
        <f>D13*'Sector Holdings'!$H$121</f>
        <v>27534.02299</v>
      </c>
      <c r="F13" s="19"/>
      <c r="G13" s="23"/>
      <c r="H13" s="19"/>
      <c r="I13" s="19"/>
      <c r="J13" s="19"/>
      <c r="K13" s="19"/>
      <c r="L13" s="19"/>
    </row>
    <row r="14" ht="15.75" customHeight="1">
      <c r="A14" s="227" t="s">
        <v>17</v>
      </c>
      <c r="B14" s="19">
        <f>'Sector Holdings'!I116</f>
        <v>0.14</v>
      </c>
      <c r="C14" s="22">
        <v>0.15</v>
      </c>
      <c r="D14" s="19">
        <f t="shared" si="1"/>
        <v>-0.01</v>
      </c>
      <c r="E14" s="223">
        <f>D14*'Sector Holdings'!$H$121</f>
        <v>-26656.87615</v>
      </c>
      <c r="F14" s="19"/>
      <c r="G14" s="19"/>
      <c r="H14" s="19"/>
      <c r="I14" s="19"/>
      <c r="J14" s="19"/>
      <c r="K14" s="19"/>
      <c r="L14" s="19"/>
    </row>
    <row r="15" ht="15.75" customHeight="1">
      <c r="A15" s="227" t="s">
        <v>66</v>
      </c>
      <c r="B15" s="19">
        <f>'Sector Holdings'!I118</f>
        <v>0.05404909382</v>
      </c>
      <c r="C15" s="22">
        <v>0.05</v>
      </c>
      <c r="D15" s="19">
        <f t="shared" si="1"/>
        <v>0.004049093822</v>
      </c>
      <c r="E15" s="223">
        <f>D15*'Sector Holdings'!$H$121</f>
        <v>10793.61925</v>
      </c>
      <c r="F15" s="19"/>
      <c r="G15" s="19"/>
      <c r="H15" s="19"/>
      <c r="I15" s="19"/>
      <c r="J15" s="19"/>
      <c r="K15" s="19"/>
      <c r="L15" s="19"/>
    </row>
    <row r="16" ht="15.75" customHeight="1">
      <c r="A16" s="228" t="s">
        <v>420</v>
      </c>
      <c r="B16" s="19">
        <f>SUM(B2:B15)-B13-'Sector Holdings'!I115</f>
        <v>1</v>
      </c>
      <c r="C16" s="19">
        <f>SUM(C2:C15)-C13</f>
        <v>1</v>
      </c>
      <c r="D16" s="19">
        <f t="shared" si="1"/>
        <v>0</v>
      </c>
      <c r="E16" s="223">
        <f>D16*'Sector Holdings'!$H$121</f>
        <v>-0.0000000002959507767</v>
      </c>
      <c r="F16" s="19"/>
      <c r="G16" s="19"/>
      <c r="H16" s="19"/>
      <c r="I16" s="19"/>
      <c r="J16" s="19"/>
      <c r="K16" s="19"/>
    </row>
    <row r="17" ht="15.75" customHeight="1">
      <c r="A17" s="111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ht="15.75" customHeight="1">
      <c r="A18" s="111"/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ht="15.75" customHeight="1">
      <c r="A19" s="111"/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ht="15.75" customHeight="1">
      <c r="A20" s="111"/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ht="15.75" customHeight="1">
      <c r="A21" s="111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ht="15.75" customHeight="1">
      <c r="A22" s="111"/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ht="15.75" customHeight="1">
      <c r="A23" s="111"/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ht="15.75" customHeight="1">
      <c r="A24" s="111"/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ht="15.75" customHeight="1">
      <c r="A25" s="111"/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ht="15.75" customHeight="1">
      <c r="A26" s="111"/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ht="15.75" customHeight="1">
      <c r="A27" s="111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ht="15.75" customHeight="1">
      <c r="A28" s="111"/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ht="15.75" customHeight="1">
      <c r="A29" s="111"/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ht="15.75" customHeight="1">
      <c r="A30" s="111"/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ht="15.75" customHeight="1">
      <c r="A31" s="111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ht="15.75" customHeight="1">
      <c r="A32" s="111"/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ht="15.75" customHeight="1">
      <c r="A33" s="111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ht="15.75" customHeight="1">
      <c r="A34" s="111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ht="15.75" customHeight="1">
      <c r="A35" s="111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ht="15.75" customHeight="1">
      <c r="A36" s="111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ht="15.75" customHeight="1">
      <c r="A37" s="111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ht="15.75" customHeight="1">
      <c r="A38" s="111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ht="15.75" customHeight="1">
      <c r="A39" s="111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ht="15.75" customHeight="1">
      <c r="A40" s="111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ht="15.75" customHeight="1">
      <c r="A41" s="111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ht="15.75" customHeight="1">
      <c r="A42" s="111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ht="15.75" customHeight="1">
      <c r="A43" s="111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ht="15.75" customHeight="1">
      <c r="A44" s="111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ht="15.75" customHeight="1">
      <c r="A45" s="111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ht="15.75" customHeight="1">
      <c r="A46" s="111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ht="15.75" customHeight="1">
      <c r="A47" s="111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ht="15.75" customHeight="1">
      <c r="A48" s="111"/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ht="15.75" customHeight="1">
      <c r="A49" s="111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ht="15.75" customHeight="1">
      <c r="A50" s="111"/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 ht="15.75" customHeight="1">
      <c r="A51" s="111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ht="15.75" customHeight="1">
      <c r="A52" s="111"/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ht="15.75" customHeight="1">
      <c r="A53" s="111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ht="15.75" customHeight="1">
      <c r="A54" s="111"/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 ht="15.75" customHeight="1">
      <c r="A55" s="111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ht="15.75" customHeight="1">
      <c r="A56" s="111"/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ht="15.75" customHeight="1">
      <c r="A57" s="111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ht="15.75" customHeight="1">
      <c r="A58" s="111"/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 ht="15.75" customHeight="1">
      <c r="A59" s="111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ht="15.75" customHeight="1">
      <c r="A60" s="111"/>
      <c r="B60" s="19"/>
      <c r="C60" s="19"/>
      <c r="D60" s="19"/>
      <c r="E60" s="19"/>
      <c r="F60" s="19"/>
      <c r="G60" s="19"/>
      <c r="H60" s="19"/>
      <c r="I60" s="19"/>
      <c r="J60" s="19"/>
      <c r="K60" s="19"/>
    </row>
    <row r="61" ht="15.75" customHeight="1">
      <c r="A61" s="111"/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ht="15.75" customHeight="1">
      <c r="A62" s="111"/>
      <c r="B62" s="19"/>
      <c r="C62" s="19"/>
      <c r="D62" s="19"/>
      <c r="E62" s="19"/>
      <c r="F62" s="19"/>
      <c r="G62" s="19"/>
      <c r="H62" s="19"/>
      <c r="I62" s="19"/>
      <c r="J62" s="19"/>
      <c r="K62" s="19"/>
    </row>
    <row r="63" ht="15.75" customHeight="1">
      <c r="A63" s="111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ht="15.75" customHeight="1">
      <c r="A64" s="111"/>
      <c r="B64" s="19"/>
      <c r="C64" s="19"/>
      <c r="D64" s="19"/>
      <c r="E64" s="19"/>
      <c r="F64" s="19"/>
      <c r="G64" s="19"/>
      <c r="H64" s="19"/>
      <c r="I64" s="19"/>
      <c r="J64" s="19"/>
      <c r="K64" s="19"/>
    </row>
    <row r="65" ht="15.75" customHeight="1">
      <c r="A65" s="111"/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ht="15.75" customHeight="1">
      <c r="A66" s="111"/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 ht="15.75" customHeight="1">
      <c r="A67" s="111"/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ht="15.75" customHeight="1">
      <c r="A68" s="111"/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ht="15.75" customHeight="1">
      <c r="A69" s="111"/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ht="15.75" customHeight="1">
      <c r="A70" s="111"/>
      <c r="B70" s="19"/>
      <c r="C70" s="19"/>
      <c r="D70" s="19"/>
      <c r="E70" s="19"/>
      <c r="F70" s="19"/>
      <c r="G70" s="19"/>
      <c r="H70" s="19"/>
      <c r="I70" s="19"/>
      <c r="J70" s="19"/>
      <c r="K70" s="19"/>
    </row>
    <row r="71" ht="15.75" customHeight="1">
      <c r="A71" s="111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ht="15.75" customHeight="1">
      <c r="A72" s="111"/>
      <c r="B72" s="19"/>
      <c r="C72" s="19"/>
      <c r="D72" s="19"/>
      <c r="E72" s="19"/>
      <c r="F72" s="19"/>
      <c r="G72" s="19"/>
      <c r="H72" s="19"/>
      <c r="I72" s="19"/>
      <c r="J72" s="19"/>
      <c r="K72" s="19"/>
    </row>
    <row r="73" ht="15.75" customHeight="1">
      <c r="A73" s="111"/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ht="15.75" customHeight="1">
      <c r="A74" s="111"/>
      <c r="B74" s="19"/>
      <c r="C74" s="19"/>
      <c r="D74" s="19"/>
      <c r="E74" s="19"/>
      <c r="F74" s="19"/>
      <c r="G74" s="19"/>
      <c r="H74" s="19"/>
      <c r="I74" s="19"/>
      <c r="J74" s="19"/>
      <c r="K74" s="19"/>
    </row>
    <row r="75" ht="15.75" customHeight="1">
      <c r="A75" s="111"/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ht="15.75" customHeight="1">
      <c r="A76" s="111"/>
      <c r="B76" s="19"/>
      <c r="C76" s="19"/>
      <c r="D76" s="19"/>
      <c r="E76" s="19"/>
      <c r="F76" s="19"/>
      <c r="G76" s="19"/>
      <c r="H76" s="19"/>
      <c r="I76" s="19"/>
      <c r="J76" s="19"/>
      <c r="K76" s="19"/>
    </row>
    <row r="77" ht="15.75" customHeight="1">
      <c r="A77" s="111"/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ht="15.75" customHeight="1">
      <c r="A78" s="111"/>
      <c r="B78" s="19"/>
      <c r="C78" s="19"/>
      <c r="D78" s="19"/>
      <c r="E78" s="19"/>
      <c r="F78" s="19"/>
      <c r="G78" s="19"/>
      <c r="H78" s="19"/>
      <c r="I78" s="19"/>
      <c r="J78" s="19"/>
      <c r="K78" s="19"/>
    </row>
    <row r="79" ht="15.75" customHeight="1">
      <c r="A79" s="111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ht="15.75" customHeight="1">
      <c r="A80" s="111"/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ht="15.75" customHeight="1">
      <c r="A81" s="111"/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 ht="15.75" customHeight="1">
      <c r="A82" s="111"/>
      <c r="B82" s="19"/>
      <c r="C82" s="19"/>
      <c r="D82" s="19"/>
      <c r="E82" s="19"/>
      <c r="F82" s="19"/>
      <c r="G82" s="19"/>
      <c r="H82" s="19"/>
      <c r="I82" s="19"/>
      <c r="J82" s="19"/>
      <c r="K82" s="19"/>
    </row>
    <row r="83" ht="15.75" customHeight="1">
      <c r="A83" s="111"/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 ht="15.75" customHeight="1">
      <c r="A84" s="111"/>
      <c r="B84" s="19"/>
      <c r="C84" s="19"/>
      <c r="D84" s="19"/>
      <c r="E84" s="19"/>
      <c r="F84" s="19"/>
      <c r="G84" s="19"/>
      <c r="H84" s="19"/>
      <c r="I84" s="19"/>
      <c r="J84" s="19"/>
      <c r="K84" s="19"/>
    </row>
    <row r="85" ht="15.75" customHeight="1">
      <c r="A85" s="111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ht="15.75" customHeight="1">
      <c r="A86" s="111"/>
      <c r="B86" s="19"/>
      <c r="C86" s="19"/>
      <c r="D86" s="19"/>
      <c r="E86" s="19"/>
      <c r="F86" s="19"/>
      <c r="G86" s="19"/>
      <c r="H86" s="19"/>
      <c r="I86" s="19"/>
      <c r="J86" s="19"/>
      <c r="K86" s="19"/>
    </row>
    <row r="87" ht="15.75" customHeight="1">
      <c r="A87" s="111"/>
      <c r="B87" s="19"/>
      <c r="C87" s="19"/>
      <c r="D87" s="19"/>
      <c r="E87" s="19"/>
      <c r="F87" s="19"/>
      <c r="G87" s="19"/>
      <c r="H87" s="19"/>
      <c r="I87" s="19"/>
      <c r="J87" s="19"/>
      <c r="K87" s="19"/>
    </row>
    <row r="88" ht="15.75" customHeight="1">
      <c r="A88" s="111"/>
      <c r="B88" s="19"/>
      <c r="C88" s="19"/>
      <c r="D88" s="19"/>
      <c r="E88" s="19"/>
      <c r="F88" s="19"/>
      <c r="G88" s="19"/>
      <c r="H88" s="19"/>
      <c r="I88" s="19"/>
      <c r="J88" s="19"/>
      <c r="K88" s="19"/>
    </row>
    <row r="89" ht="15.75" customHeight="1">
      <c r="A89" s="111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ht="15.75" customHeight="1">
      <c r="A90" s="111"/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 ht="15.75" customHeight="1">
      <c r="A91" s="111"/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 ht="15.75" customHeight="1">
      <c r="A92" s="111"/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 ht="15.75" customHeight="1">
      <c r="A93" s="111"/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 ht="15.75" customHeight="1">
      <c r="A94" s="111"/>
      <c r="B94" s="19"/>
      <c r="C94" s="19"/>
      <c r="D94" s="19"/>
      <c r="E94" s="19"/>
      <c r="F94" s="19"/>
      <c r="G94" s="19"/>
      <c r="H94" s="19"/>
      <c r="I94" s="19"/>
      <c r="J94" s="19"/>
      <c r="K94" s="19"/>
    </row>
    <row r="95" ht="15.75" customHeight="1">
      <c r="A95" s="111"/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ht="15.75" customHeight="1">
      <c r="A96" s="111"/>
      <c r="B96" s="19"/>
      <c r="C96" s="19"/>
      <c r="D96" s="19"/>
      <c r="E96" s="19"/>
      <c r="F96" s="19"/>
      <c r="G96" s="19"/>
      <c r="H96" s="19"/>
      <c r="I96" s="19"/>
      <c r="J96" s="19"/>
      <c r="K96" s="19"/>
    </row>
    <row r="97" ht="15.75" customHeight="1">
      <c r="A97" s="111"/>
      <c r="B97" s="19"/>
      <c r="C97" s="19"/>
      <c r="D97" s="19"/>
      <c r="E97" s="19"/>
      <c r="F97" s="19"/>
      <c r="G97" s="19"/>
      <c r="H97" s="19"/>
      <c r="I97" s="19"/>
      <c r="J97" s="19"/>
      <c r="K97" s="19"/>
    </row>
    <row r="98" ht="15.75" customHeight="1">
      <c r="A98" s="111"/>
      <c r="B98" s="19"/>
      <c r="C98" s="19"/>
      <c r="D98" s="19"/>
      <c r="E98" s="19"/>
      <c r="F98" s="19"/>
      <c r="G98" s="19"/>
      <c r="H98" s="19"/>
      <c r="I98" s="19"/>
      <c r="J98" s="19"/>
      <c r="K98" s="19"/>
    </row>
    <row r="99" ht="15.75" customHeight="1">
      <c r="A99" s="111"/>
      <c r="B99" s="19"/>
      <c r="C99" s="19"/>
      <c r="D99" s="19"/>
      <c r="E99" s="19"/>
      <c r="F99" s="19"/>
      <c r="G99" s="19"/>
      <c r="H99" s="19"/>
      <c r="I99" s="19"/>
      <c r="J99" s="19"/>
      <c r="K99" s="19"/>
    </row>
    <row r="100" ht="15.75" customHeight="1">
      <c r="A100" s="111"/>
      <c r="B100" s="19"/>
      <c r="C100" s="19"/>
      <c r="D100" s="19"/>
      <c r="E100" s="19"/>
      <c r="F100" s="19"/>
      <c r="G100" s="19"/>
      <c r="H100" s="19"/>
      <c r="I100" s="19"/>
      <c r="J100" s="19"/>
      <c r="K100" s="19"/>
    </row>
    <row r="101" ht="15.75" customHeight="1">
      <c r="A101" s="111"/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 ht="15.75" customHeight="1">
      <c r="A102" s="111"/>
      <c r="B102" s="19"/>
      <c r="C102" s="19"/>
      <c r="D102" s="19"/>
      <c r="E102" s="19"/>
      <c r="F102" s="19"/>
      <c r="G102" s="19"/>
      <c r="H102" s="19"/>
      <c r="I102" s="19"/>
      <c r="J102" s="19"/>
      <c r="K102" s="19"/>
    </row>
    <row r="103" ht="15.75" customHeight="1">
      <c r="A103" s="111"/>
      <c r="B103" s="19"/>
      <c r="C103" s="19"/>
      <c r="D103" s="19"/>
      <c r="E103" s="19"/>
      <c r="F103" s="19"/>
      <c r="G103" s="19"/>
      <c r="H103" s="19"/>
      <c r="I103" s="19"/>
      <c r="J103" s="19"/>
      <c r="K103" s="19"/>
    </row>
    <row r="104" ht="15.75" customHeight="1">
      <c r="A104" s="111"/>
      <c r="B104" s="19"/>
      <c r="C104" s="19"/>
      <c r="D104" s="19"/>
      <c r="E104" s="19"/>
      <c r="F104" s="19"/>
      <c r="G104" s="19"/>
      <c r="H104" s="19"/>
      <c r="I104" s="19"/>
      <c r="J104" s="19"/>
      <c r="K104" s="19"/>
    </row>
    <row r="105" ht="15.75" customHeight="1">
      <c r="A105" s="111"/>
      <c r="B105" s="19"/>
      <c r="C105" s="19"/>
      <c r="D105" s="19"/>
      <c r="E105" s="19"/>
      <c r="F105" s="19"/>
      <c r="G105" s="19"/>
      <c r="H105" s="19"/>
      <c r="I105" s="19"/>
      <c r="J105" s="19"/>
      <c r="K105" s="19"/>
    </row>
    <row r="106" ht="15.75" customHeight="1">
      <c r="A106" s="111"/>
      <c r="B106" s="19"/>
      <c r="C106" s="19"/>
      <c r="D106" s="19"/>
      <c r="E106" s="19"/>
      <c r="F106" s="19"/>
      <c r="G106" s="19"/>
      <c r="H106" s="19"/>
      <c r="I106" s="19"/>
      <c r="J106" s="19"/>
      <c r="K106" s="19"/>
    </row>
    <row r="107" ht="15.75" customHeight="1">
      <c r="A107" s="111"/>
      <c r="B107" s="19"/>
      <c r="C107" s="19"/>
      <c r="D107" s="19"/>
      <c r="E107" s="19"/>
      <c r="F107" s="19"/>
      <c r="G107" s="19"/>
      <c r="H107" s="19"/>
      <c r="I107" s="19"/>
      <c r="J107" s="19"/>
      <c r="K107" s="19"/>
    </row>
    <row r="108" ht="15.75" customHeight="1">
      <c r="A108" s="111"/>
      <c r="B108" s="19"/>
      <c r="C108" s="19"/>
      <c r="D108" s="19"/>
      <c r="E108" s="19"/>
      <c r="F108" s="19"/>
      <c r="G108" s="19"/>
      <c r="H108" s="19"/>
      <c r="I108" s="19"/>
      <c r="J108" s="19"/>
      <c r="K108" s="19"/>
    </row>
    <row r="109" ht="15.75" customHeight="1">
      <c r="A109" s="111"/>
      <c r="B109" s="19"/>
      <c r="C109" s="19"/>
      <c r="D109" s="19"/>
      <c r="E109" s="19"/>
      <c r="F109" s="19"/>
      <c r="G109" s="19"/>
      <c r="H109" s="19"/>
      <c r="I109" s="19"/>
      <c r="J109" s="19"/>
      <c r="K109" s="19"/>
    </row>
    <row r="110" ht="15.75" customHeight="1">
      <c r="A110" s="111"/>
      <c r="B110" s="19"/>
      <c r="C110" s="19"/>
      <c r="D110" s="19"/>
      <c r="E110" s="19"/>
      <c r="F110" s="19"/>
      <c r="G110" s="19"/>
      <c r="H110" s="19"/>
      <c r="I110" s="19"/>
      <c r="J110" s="19"/>
      <c r="K110" s="19"/>
    </row>
    <row r="111" ht="15.75" customHeight="1">
      <c r="A111" s="111"/>
      <c r="B111" s="19"/>
      <c r="C111" s="19"/>
      <c r="D111" s="19"/>
      <c r="E111" s="19"/>
      <c r="F111" s="19"/>
      <c r="G111" s="19"/>
      <c r="H111" s="19"/>
      <c r="I111" s="19"/>
      <c r="J111" s="19"/>
      <c r="K111" s="19"/>
    </row>
    <row r="112" ht="15.75" customHeight="1">
      <c r="A112" s="111"/>
      <c r="B112" s="19"/>
      <c r="C112" s="19"/>
      <c r="D112" s="19"/>
      <c r="E112" s="19"/>
      <c r="F112" s="19"/>
      <c r="G112" s="19"/>
      <c r="H112" s="19"/>
      <c r="I112" s="19"/>
      <c r="J112" s="19"/>
      <c r="K112" s="19"/>
    </row>
    <row r="113" ht="15.75" customHeight="1">
      <c r="A113" s="111"/>
      <c r="B113" s="19"/>
      <c r="C113" s="19"/>
      <c r="D113" s="19"/>
      <c r="E113" s="19"/>
      <c r="F113" s="19"/>
      <c r="G113" s="19"/>
      <c r="H113" s="19"/>
      <c r="I113" s="19"/>
      <c r="J113" s="19"/>
      <c r="K113" s="19"/>
    </row>
    <row r="114" ht="15.75" customHeight="1">
      <c r="A114" s="111"/>
      <c r="B114" s="19"/>
      <c r="C114" s="19"/>
      <c r="D114" s="19"/>
      <c r="E114" s="19"/>
      <c r="F114" s="19"/>
      <c r="G114" s="19"/>
      <c r="H114" s="19"/>
      <c r="I114" s="19"/>
      <c r="J114" s="19"/>
      <c r="K114" s="19"/>
    </row>
    <row r="115" ht="15.75" customHeight="1">
      <c r="A115" s="111"/>
      <c r="B115" s="19"/>
      <c r="C115" s="19"/>
      <c r="D115" s="19"/>
      <c r="E115" s="19"/>
      <c r="F115" s="19"/>
      <c r="G115" s="19"/>
      <c r="H115" s="19"/>
      <c r="I115" s="19"/>
      <c r="J115" s="19"/>
      <c r="K115" s="19"/>
    </row>
    <row r="116" ht="15.75" customHeight="1">
      <c r="A116" s="111"/>
      <c r="B116" s="19"/>
      <c r="C116" s="19"/>
      <c r="D116" s="19"/>
      <c r="E116" s="19"/>
      <c r="F116" s="19"/>
      <c r="G116" s="19"/>
      <c r="H116" s="19"/>
      <c r="I116" s="19"/>
      <c r="J116" s="19"/>
      <c r="K116" s="19"/>
    </row>
    <row r="117" ht="15.75" customHeight="1">
      <c r="A117" s="111"/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 ht="15.75" customHeight="1">
      <c r="A118" s="111"/>
      <c r="B118" s="19"/>
      <c r="C118" s="19"/>
      <c r="D118" s="19"/>
      <c r="E118" s="19"/>
      <c r="F118" s="19"/>
      <c r="G118" s="19"/>
      <c r="H118" s="19"/>
      <c r="I118" s="19"/>
      <c r="J118" s="19"/>
      <c r="K118" s="19"/>
    </row>
    <row r="119" ht="15.75" customHeight="1">
      <c r="A119" s="111"/>
      <c r="B119" s="19"/>
      <c r="C119" s="19"/>
      <c r="D119" s="19"/>
      <c r="E119" s="19"/>
      <c r="F119" s="19"/>
      <c r="G119" s="19"/>
      <c r="H119" s="19"/>
      <c r="I119" s="19"/>
      <c r="J119" s="19"/>
      <c r="K119" s="19"/>
    </row>
    <row r="120" ht="15.75" customHeight="1">
      <c r="A120" s="111"/>
      <c r="B120" s="19"/>
      <c r="C120" s="19"/>
      <c r="D120" s="19"/>
      <c r="E120" s="19"/>
      <c r="F120" s="19"/>
      <c r="G120" s="19"/>
      <c r="H120" s="19"/>
      <c r="I120" s="19"/>
      <c r="J120" s="19"/>
      <c r="K120" s="19"/>
    </row>
    <row r="121" ht="15.75" customHeight="1">
      <c r="A121" s="111"/>
      <c r="B121" s="19"/>
      <c r="C121" s="19"/>
      <c r="D121" s="19"/>
      <c r="E121" s="19"/>
      <c r="F121" s="19"/>
      <c r="G121" s="19"/>
      <c r="H121" s="19"/>
      <c r="I121" s="19"/>
      <c r="J121" s="19"/>
      <c r="K121" s="19"/>
    </row>
    <row r="122" ht="15.75" customHeight="1">
      <c r="A122" s="111"/>
      <c r="B122" s="19"/>
      <c r="C122" s="19"/>
      <c r="D122" s="19"/>
      <c r="E122" s="19"/>
      <c r="F122" s="19"/>
      <c r="G122" s="19"/>
      <c r="H122" s="19"/>
      <c r="I122" s="19"/>
      <c r="J122" s="19"/>
      <c r="K122" s="19"/>
    </row>
    <row r="123" ht="15.75" customHeight="1">
      <c r="A123" s="111"/>
      <c r="B123" s="19"/>
      <c r="C123" s="19"/>
      <c r="D123" s="19"/>
      <c r="E123" s="19"/>
      <c r="F123" s="19"/>
      <c r="G123" s="19"/>
      <c r="H123" s="19"/>
      <c r="I123" s="19"/>
      <c r="J123" s="19"/>
      <c r="K123" s="19"/>
    </row>
    <row r="124" ht="15.75" customHeight="1">
      <c r="A124" s="111"/>
      <c r="B124" s="19"/>
      <c r="C124" s="19"/>
      <c r="D124" s="19"/>
      <c r="E124" s="19"/>
      <c r="F124" s="19"/>
      <c r="G124" s="19"/>
      <c r="H124" s="19"/>
      <c r="I124" s="19"/>
      <c r="J124" s="19"/>
      <c r="K124" s="19"/>
    </row>
    <row r="125" ht="15.75" customHeight="1">
      <c r="A125" s="111"/>
      <c r="B125" s="19"/>
      <c r="C125" s="19"/>
      <c r="D125" s="19"/>
      <c r="E125" s="19"/>
      <c r="F125" s="19"/>
      <c r="G125" s="19"/>
      <c r="H125" s="19"/>
      <c r="I125" s="19"/>
      <c r="J125" s="19"/>
      <c r="K125" s="19"/>
    </row>
    <row r="126" ht="15.75" customHeight="1">
      <c r="A126" s="111"/>
      <c r="B126" s="19"/>
      <c r="C126" s="19"/>
      <c r="D126" s="19"/>
      <c r="E126" s="19"/>
      <c r="F126" s="19"/>
      <c r="G126" s="19"/>
      <c r="H126" s="19"/>
      <c r="I126" s="19"/>
      <c r="J126" s="19"/>
      <c r="K126" s="19"/>
    </row>
    <row r="127" ht="15.75" customHeight="1">
      <c r="A127" s="111"/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ht="15.75" customHeight="1">
      <c r="A128" s="111"/>
      <c r="B128" s="19"/>
      <c r="C128" s="19"/>
      <c r="D128" s="19"/>
      <c r="E128" s="19"/>
      <c r="F128" s="19"/>
      <c r="G128" s="19"/>
      <c r="H128" s="19"/>
      <c r="I128" s="19"/>
      <c r="J128" s="19"/>
      <c r="K128" s="19"/>
    </row>
    <row r="129" ht="15.75" customHeight="1">
      <c r="A129" s="111"/>
      <c r="B129" s="19"/>
      <c r="C129" s="19"/>
      <c r="D129" s="19"/>
      <c r="E129" s="19"/>
      <c r="F129" s="19"/>
      <c r="G129" s="19"/>
      <c r="H129" s="19"/>
      <c r="I129" s="19"/>
      <c r="J129" s="19"/>
      <c r="K129" s="19"/>
    </row>
    <row r="130" ht="15.75" customHeight="1">
      <c r="A130" s="111"/>
      <c r="B130" s="19"/>
      <c r="C130" s="19"/>
      <c r="D130" s="19"/>
      <c r="E130" s="19"/>
      <c r="F130" s="19"/>
      <c r="G130" s="19"/>
      <c r="H130" s="19"/>
      <c r="I130" s="19"/>
      <c r="J130" s="19"/>
      <c r="K130" s="19"/>
    </row>
    <row r="131" ht="15.75" customHeight="1">
      <c r="A131" s="111"/>
      <c r="B131" s="19"/>
      <c r="C131" s="19"/>
      <c r="D131" s="19"/>
      <c r="E131" s="19"/>
      <c r="F131" s="19"/>
      <c r="G131" s="19"/>
      <c r="H131" s="19"/>
      <c r="I131" s="19"/>
      <c r="J131" s="19"/>
      <c r="K131" s="19"/>
    </row>
    <row r="132" ht="15.75" customHeight="1">
      <c r="A132" s="111"/>
      <c r="B132" s="19"/>
      <c r="C132" s="19"/>
      <c r="D132" s="19"/>
      <c r="E132" s="19"/>
      <c r="F132" s="19"/>
      <c r="G132" s="19"/>
      <c r="H132" s="19"/>
      <c r="I132" s="19"/>
      <c r="J132" s="19"/>
      <c r="K132" s="19"/>
    </row>
    <row r="133" ht="15.75" customHeight="1">
      <c r="A133" s="111"/>
      <c r="B133" s="19"/>
      <c r="C133" s="19"/>
      <c r="D133" s="19"/>
      <c r="E133" s="19"/>
      <c r="F133" s="19"/>
      <c r="G133" s="19"/>
      <c r="H133" s="19"/>
      <c r="I133" s="19"/>
      <c r="J133" s="19"/>
      <c r="K133" s="19"/>
    </row>
    <row r="134" ht="15.75" customHeight="1">
      <c r="A134" s="111"/>
      <c r="B134" s="19"/>
      <c r="C134" s="19"/>
      <c r="D134" s="19"/>
      <c r="E134" s="19"/>
      <c r="F134" s="19"/>
      <c r="G134" s="19"/>
      <c r="H134" s="19"/>
      <c r="I134" s="19"/>
      <c r="J134" s="19"/>
      <c r="K134" s="19"/>
    </row>
    <row r="135" ht="15.75" customHeight="1">
      <c r="A135" s="111"/>
      <c r="B135" s="19"/>
      <c r="C135" s="19"/>
      <c r="D135" s="19"/>
      <c r="E135" s="19"/>
      <c r="F135" s="19"/>
      <c r="G135" s="19"/>
      <c r="H135" s="19"/>
      <c r="I135" s="19"/>
      <c r="J135" s="19"/>
      <c r="K135" s="19"/>
    </row>
    <row r="136" ht="15.75" customHeight="1">
      <c r="A136" s="111"/>
      <c r="B136" s="19"/>
      <c r="C136" s="19"/>
      <c r="D136" s="19"/>
      <c r="E136" s="19"/>
      <c r="F136" s="19"/>
      <c r="G136" s="19"/>
      <c r="H136" s="19"/>
      <c r="I136" s="19"/>
      <c r="J136" s="19"/>
      <c r="K136" s="19"/>
    </row>
    <row r="137" ht="15.75" customHeight="1">
      <c r="A137" s="111"/>
      <c r="B137" s="19"/>
      <c r="C137" s="19"/>
      <c r="D137" s="19"/>
      <c r="E137" s="19"/>
      <c r="F137" s="19"/>
      <c r="G137" s="19"/>
      <c r="H137" s="19"/>
      <c r="I137" s="19"/>
      <c r="J137" s="19"/>
      <c r="K137" s="19"/>
    </row>
    <row r="138" ht="15.75" customHeight="1">
      <c r="A138" s="111"/>
      <c r="B138" s="19"/>
      <c r="C138" s="19"/>
      <c r="D138" s="19"/>
      <c r="E138" s="19"/>
      <c r="F138" s="19"/>
      <c r="G138" s="19"/>
      <c r="H138" s="19"/>
      <c r="I138" s="19"/>
      <c r="J138" s="19"/>
      <c r="K138" s="19"/>
    </row>
    <row r="139" ht="15.75" customHeight="1">
      <c r="A139" s="111"/>
      <c r="B139" s="19"/>
      <c r="C139" s="19"/>
      <c r="D139" s="19"/>
      <c r="E139" s="19"/>
      <c r="F139" s="19"/>
      <c r="G139" s="19"/>
      <c r="H139" s="19"/>
      <c r="I139" s="19"/>
      <c r="J139" s="19"/>
      <c r="K139" s="19"/>
    </row>
    <row r="140" ht="15.75" customHeight="1">
      <c r="A140" s="111"/>
      <c r="B140" s="19"/>
      <c r="C140" s="19"/>
      <c r="D140" s="19"/>
      <c r="E140" s="19"/>
      <c r="F140" s="19"/>
      <c r="G140" s="19"/>
      <c r="H140" s="19"/>
      <c r="I140" s="19"/>
      <c r="J140" s="19"/>
      <c r="K140" s="19"/>
    </row>
    <row r="141" ht="15.75" customHeight="1">
      <c r="A141" s="111"/>
      <c r="B141" s="19"/>
      <c r="C141" s="19"/>
      <c r="D141" s="19"/>
      <c r="E141" s="19"/>
      <c r="F141" s="19"/>
      <c r="G141" s="19"/>
      <c r="H141" s="19"/>
      <c r="I141" s="19"/>
      <c r="J141" s="19"/>
      <c r="K141" s="19"/>
    </row>
    <row r="142" ht="15.75" customHeight="1">
      <c r="A142" s="111"/>
      <c r="B142" s="19"/>
      <c r="C142" s="19"/>
      <c r="D142" s="19"/>
      <c r="E142" s="19"/>
      <c r="F142" s="19"/>
      <c r="G142" s="19"/>
      <c r="H142" s="19"/>
      <c r="I142" s="19"/>
      <c r="J142" s="19"/>
      <c r="K142" s="19"/>
    </row>
    <row r="143" ht="15.75" customHeight="1">
      <c r="A143" s="111"/>
      <c r="B143" s="19"/>
      <c r="C143" s="19"/>
      <c r="D143" s="19"/>
      <c r="E143" s="19"/>
      <c r="F143" s="19"/>
      <c r="G143" s="19"/>
      <c r="H143" s="19"/>
      <c r="I143" s="19"/>
      <c r="J143" s="19"/>
      <c r="K143" s="19"/>
    </row>
    <row r="144" ht="15.75" customHeight="1">
      <c r="A144" s="111"/>
      <c r="B144" s="19"/>
      <c r="C144" s="19"/>
      <c r="D144" s="19"/>
      <c r="E144" s="19"/>
      <c r="F144" s="19"/>
      <c r="G144" s="19"/>
      <c r="H144" s="19"/>
      <c r="I144" s="19"/>
      <c r="J144" s="19"/>
      <c r="K144" s="19"/>
    </row>
    <row r="145" ht="15.75" customHeight="1">
      <c r="A145" s="111"/>
      <c r="B145" s="19"/>
      <c r="C145" s="19"/>
      <c r="D145" s="19"/>
      <c r="E145" s="19"/>
      <c r="F145" s="19"/>
      <c r="G145" s="19"/>
      <c r="H145" s="19"/>
      <c r="I145" s="19"/>
      <c r="J145" s="19"/>
      <c r="K145" s="19"/>
    </row>
    <row r="146" ht="15.75" customHeight="1">
      <c r="A146" s="111"/>
      <c r="B146" s="19"/>
      <c r="C146" s="19"/>
      <c r="D146" s="19"/>
      <c r="E146" s="19"/>
      <c r="F146" s="19"/>
      <c r="G146" s="19"/>
      <c r="H146" s="19"/>
      <c r="I146" s="19"/>
      <c r="J146" s="19"/>
      <c r="K146" s="19"/>
    </row>
    <row r="147" ht="15.75" customHeight="1">
      <c r="A147" s="111"/>
      <c r="B147" s="19"/>
      <c r="C147" s="19"/>
      <c r="D147" s="19"/>
      <c r="E147" s="19"/>
      <c r="F147" s="19"/>
      <c r="G147" s="19"/>
      <c r="H147" s="19"/>
      <c r="I147" s="19"/>
      <c r="J147" s="19"/>
      <c r="K147" s="19"/>
    </row>
    <row r="148" ht="15.75" customHeight="1">
      <c r="A148" s="111"/>
      <c r="B148" s="19"/>
      <c r="C148" s="19"/>
      <c r="D148" s="19"/>
      <c r="E148" s="19"/>
      <c r="F148" s="19"/>
      <c r="G148" s="19"/>
      <c r="H148" s="19"/>
      <c r="I148" s="19"/>
      <c r="J148" s="19"/>
      <c r="K148" s="19"/>
    </row>
    <row r="149" ht="15.75" customHeight="1">
      <c r="A149" s="111"/>
      <c r="B149" s="19"/>
      <c r="C149" s="19"/>
      <c r="D149" s="19"/>
      <c r="E149" s="19"/>
      <c r="F149" s="19"/>
      <c r="G149" s="19"/>
      <c r="H149" s="19"/>
      <c r="I149" s="19"/>
      <c r="J149" s="19"/>
      <c r="K149" s="19"/>
    </row>
    <row r="150" ht="15.75" customHeight="1">
      <c r="A150" s="111"/>
      <c r="B150" s="19"/>
      <c r="C150" s="19"/>
      <c r="D150" s="19"/>
      <c r="E150" s="19"/>
      <c r="F150" s="19"/>
      <c r="G150" s="19"/>
      <c r="H150" s="19"/>
      <c r="I150" s="19"/>
      <c r="J150" s="19"/>
      <c r="K150" s="19"/>
    </row>
    <row r="151" ht="15.75" customHeight="1">
      <c r="A151" s="111"/>
      <c r="B151" s="19"/>
      <c r="C151" s="19"/>
      <c r="D151" s="19"/>
      <c r="E151" s="19"/>
      <c r="F151" s="19"/>
      <c r="G151" s="19"/>
      <c r="H151" s="19"/>
      <c r="I151" s="19"/>
      <c r="J151" s="19"/>
      <c r="K151" s="19"/>
    </row>
    <row r="152" ht="15.75" customHeight="1">
      <c r="A152" s="111"/>
      <c r="B152" s="19"/>
      <c r="C152" s="19"/>
      <c r="D152" s="19"/>
      <c r="E152" s="19"/>
      <c r="F152" s="19"/>
      <c r="G152" s="19"/>
      <c r="H152" s="19"/>
      <c r="I152" s="19"/>
      <c r="J152" s="19"/>
      <c r="K152" s="19"/>
    </row>
    <row r="153" ht="15.75" customHeight="1">
      <c r="A153" s="111"/>
      <c r="B153" s="19"/>
      <c r="C153" s="19"/>
      <c r="D153" s="19"/>
      <c r="E153" s="19"/>
      <c r="F153" s="19"/>
      <c r="G153" s="19"/>
      <c r="H153" s="19"/>
      <c r="I153" s="19"/>
      <c r="J153" s="19"/>
      <c r="K153" s="19"/>
    </row>
    <row r="154" ht="15.75" customHeight="1">
      <c r="A154" s="111"/>
      <c r="B154" s="19"/>
      <c r="C154" s="19"/>
      <c r="D154" s="19"/>
      <c r="E154" s="19"/>
      <c r="F154" s="19"/>
      <c r="G154" s="19"/>
      <c r="H154" s="19"/>
      <c r="I154" s="19"/>
      <c r="J154" s="19"/>
      <c r="K154" s="19"/>
    </row>
    <row r="155" ht="15.75" customHeight="1">
      <c r="A155" s="111"/>
      <c r="B155" s="19"/>
      <c r="C155" s="19"/>
      <c r="D155" s="19"/>
      <c r="E155" s="19"/>
      <c r="F155" s="19"/>
      <c r="G155" s="19"/>
      <c r="H155" s="19"/>
      <c r="I155" s="19"/>
      <c r="J155" s="19"/>
      <c r="K155" s="19"/>
    </row>
    <row r="156" ht="15.75" customHeight="1">
      <c r="A156" s="111"/>
      <c r="B156" s="19"/>
      <c r="C156" s="19"/>
      <c r="D156" s="19"/>
      <c r="E156" s="19"/>
      <c r="F156" s="19"/>
      <c r="G156" s="19"/>
      <c r="H156" s="19"/>
      <c r="I156" s="19"/>
      <c r="J156" s="19"/>
      <c r="K156" s="19"/>
    </row>
    <row r="157" ht="15.75" customHeight="1">
      <c r="A157" s="111"/>
      <c r="B157" s="19"/>
      <c r="C157" s="19"/>
      <c r="D157" s="19"/>
      <c r="E157" s="19"/>
      <c r="F157" s="19"/>
      <c r="G157" s="19"/>
      <c r="H157" s="19"/>
      <c r="I157" s="19"/>
      <c r="J157" s="19"/>
      <c r="K157" s="19"/>
    </row>
    <row r="158" ht="15.75" customHeight="1">
      <c r="A158" s="111"/>
      <c r="B158" s="19"/>
      <c r="C158" s="19"/>
      <c r="D158" s="19"/>
      <c r="E158" s="19"/>
      <c r="F158" s="19"/>
      <c r="G158" s="19"/>
      <c r="H158" s="19"/>
      <c r="I158" s="19"/>
      <c r="J158" s="19"/>
      <c r="K158" s="19"/>
    </row>
    <row r="159" ht="15.75" customHeight="1">
      <c r="A159" s="111"/>
      <c r="B159" s="19"/>
      <c r="C159" s="19"/>
      <c r="D159" s="19"/>
      <c r="E159" s="19"/>
      <c r="F159" s="19"/>
      <c r="G159" s="19"/>
      <c r="H159" s="19"/>
      <c r="I159" s="19"/>
      <c r="J159" s="19"/>
      <c r="K159" s="19"/>
    </row>
    <row r="160" ht="15.75" customHeight="1">
      <c r="A160" s="111"/>
      <c r="B160" s="19"/>
      <c r="C160" s="19"/>
      <c r="D160" s="19"/>
      <c r="E160" s="19"/>
      <c r="F160" s="19"/>
      <c r="G160" s="19"/>
      <c r="H160" s="19"/>
      <c r="I160" s="19"/>
      <c r="J160" s="19"/>
      <c r="K160" s="19"/>
    </row>
    <row r="161" ht="15.75" customHeight="1">
      <c r="A161" s="111"/>
      <c r="B161" s="19"/>
      <c r="C161" s="19"/>
      <c r="D161" s="19"/>
      <c r="E161" s="19"/>
      <c r="F161" s="19"/>
      <c r="G161" s="19"/>
      <c r="H161" s="19"/>
      <c r="I161" s="19"/>
      <c r="J161" s="19"/>
      <c r="K161" s="19"/>
    </row>
    <row r="162" ht="15.75" customHeight="1">
      <c r="A162" s="111"/>
      <c r="B162" s="19"/>
      <c r="C162" s="19"/>
      <c r="D162" s="19"/>
      <c r="E162" s="19"/>
      <c r="F162" s="19"/>
      <c r="G162" s="19"/>
      <c r="H162" s="19"/>
      <c r="I162" s="19"/>
      <c r="J162" s="19"/>
      <c r="K162" s="19"/>
    </row>
    <row r="163" ht="15.75" customHeight="1">
      <c r="A163" s="111"/>
      <c r="B163" s="19"/>
      <c r="C163" s="19"/>
      <c r="D163" s="19"/>
      <c r="E163" s="19"/>
      <c r="F163" s="19"/>
      <c r="G163" s="19"/>
      <c r="H163" s="19"/>
      <c r="I163" s="19"/>
      <c r="J163" s="19"/>
      <c r="K163" s="19"/>
    </row>
    <row r="164" ht="15.75" customHeight="1">
      <c r="A164" s="111"/>
      <c r="B164" s="19"/>
      <c r="C164" s="19"/>
      <c r="D164" s="19"/>
      <c r="E164" s="19"/>
      <c r="F164" s="19"/>
      <c r="G164" s="19"/>
      <c r="H164" s="19"/>
      <c r="I164" s="19"/>
      <c r="J164" s="19"/>
      <c r="K164" s="19"/>
    </row>
    <row r="165" ht="15.75" customHeight="1">
      <c r="A165" s="111"/>
      <c r="B165" s="19"/>
      <c r="C165" s="19"/>
      <c r="D165" s="19"/>
      <c r="E165" s="19"/>
      <c r="F165" s="19"/>
      <c r="G165" s="19"/>
      <c r="H165" s="19"/>
      <c r="I165" s="19"/>
      <c r="J165" s="19"/>
      <c r="K165" s="19"/>
    </row>
    <row r="166" ht="15.75" customHeight="1">
      <c r="A166" s="111"/>
      <c r="B166" s="19"/>
      <c r="C166" s="19"/>
      <c r="D166" s="19"/>
      <c r="E166" s="19"/>
      <c r="F166" s="19"/>
      <c r="G166" s="19"/>
      <c r="H166" s="19"/>
      <c r="I166" s="19"/>
      <c r="J166" s="19"/>
      <c r="K166" s="19"/>
    </row>
    <row r="167" ht="15.75" customHeight="1">
      <c r="A167" s="111"/>
      <c r="B167" s="19"/>
      <c r="C167" s="19"/>
      <c r="D167" s="19"/>
      <c r="E167" s="19"/>
      <c r="F167" s="19"/>
      <c r="G167" s="19"/>
      <c r="H167" s="19"/>
      <c r="I167" s="19"/>
      <c r="J167" s="19"/>
      <c r="K167" s="19"/>
    </row>
    <row r="168" ht="15.75" customHeight="1">
      <c r="A168" s="111"/>
      <c r="B168" s="19"/>
      <c r="C168" s="19"/>
      <c r="D168" s="19"/>
      <c r="E168" s="19"/>
      <c r="F168" s="19"/>
      <c r="G168" s="19"/>
      <c r="H168" s="19"/>
      <c r="I168" s="19"/>
      <c r="J168" s="19"/>
      <c r="K168" s="19"/>
    </row>
    <row r="169" ht="15.75" customHeight="1">
      <c r="A169" s="111"/>
      <c r="B169" s="19"/>
      <c r="C169" s="19"/>
      <c r="D169" s="19"/>
      <c r="E169" s="19"/>
      <c r="F169" s="19"/>
      <c r="G169" s="19"/>
      <c r="H169" s="19"/>
      <c r="I169" s="19"/>
      <c r="J169" s="19"/>
      <c r="K169" s="19"/>
    </row>
    <row r="170" ht="15.75" customHeight="1">
      <c r="A170" s="111"/>
      <c r="B170" s="19"/>
      <c r="C170" s="19"/>
      <c r="D170" s="19"/>
      <c r="E170" s="19"/>
      <c r="F170" s="19"/>
      <c r="G170" s="19"/>
      <c r="H170" s="19"/>
      <c r="I170" s="19"/>
      <c r="J170" s="19"/>
      <c r="K170" s="19"/>
    </row>
    <row r="171" ht="15.75" customHeight="1">
      <c r="A171" s="111"/>
      <c r="B171" s="19"/>
      <c r="C171" s="19"/>
      <c r="D171" s="19"/>
      <c r="E171" s="19"/>
      <c r="F171" s="19"/>
      <c r="G171" s="19"/>
      <c r="H171" s="19"/>
      <c r="I171" s="19"/>
      <c r="J171" s="19"/>
      <c r="K171" s="19"/>
    </row>
    <row r="172" ht="15.75" customHeight="1">
      <c r="A172" s="111"/>
      <c r="B172" s="19"/>
      <c r="C172" s="19"/>
      <c r="D172" s="19"/>
      <c r="E172" s="19"/>
      <c r="F172" s="19"/>
      <c r="G172" s="19"/>
      <c r="H172" s="19"/>
      <c r="I172" s="19"/>
      <c r="J172" s="19"/>
      <c r="K172" s="19"/>
    </row>
    <row r="173" ht="15.75" customHeight="1">
      <c r="A173" s="111"/>
      <c r="B173" s="19"/>
      <c r="C173" s="19"/>
      <c r="D173" s="19"/>
      <c r="E173" s="19"/>
      <c r="F173" s="19"/>
      <c r="G173" s="19"/>
      <c r="H173" s="19"/>
      <c r="I173" s="19"/>
      <c r="J173" s="19"/>
      <c r="K173" s="19"/>
    </row>
    <row r="174" ht="15.75" customHeight="1">
      <c r="A174" s="111"/>
      <c r="B174" s="19"/>
      <c r="C174" s="19"/>
      <c r="D174" s="19"/>
      <c r="E174" s="19"/>
      <c r="F174" s="19"/>
      <c r="G174" s="19"/>
      <c r="H174" s="19"/>
      <c r="I174" s="19"/>
      <c r="J174" s="19"/>
      <c r="K174" s="19"/>
    </row>
    <row r="175" ht="15.75" customHeight="1">
      <c r="A175" s="111"/>
      <c r="B175" s="19"/>
      <c r="C175" s="19"/>
      <c r="D175" s="19"/>
      <c r="E175" s="19"/>
      <c r="F175" s="19"/>
      <c r="G175" s="19"/>
      <c r="H175" s="19"/>
      <c r="I175" s="19"/>
      <c r="J175" s="19"/>
      <c r="K175" s="19"/>
    </row>
    <row r="176" ht="15.75" customHeight="1">
      <c r="A176" s="111"/>
      <c r="B176" s="19"/>
      <c r="C176" s="19"/>
      <c r="D176" s="19"/>
      <c r="E176" s="19"/>
      <c r="F176" s="19"/>
      <c r="G176" s="19"/>
      <c r="H176" s="19"/>
      <c r="I176" s="19"/>
      <c r="J176" s="19"/>
      <c r="K176" s="19"/>
    </row>
    <row r="177" ht="15.75" customHeight="1">
      <c r="A177" s="111"/>
      <c r="B177" s="19"/>
      <c r="C177" s="19"/>
      <c r="D177" s="19"/>
      <c r="E177" s="19"/>
      <c r="F177" s="19"/>
      <c r="G177" s="19"/>
      <c r="H177" s="19"/>
      <c r="I177" s="19"/>
      <c r="J177" s="19"/>
      <c r="K177" s="19"/>
    </row>
    <row r="178" ht="15.75" customHeight="1">
      <c r="A178" s="111"/>
      <c r="B178" s="19"/>
      <c r="C178" s="19"/>
      <c r="D178" s="19"/>
      <c r="E178" s="19"/>
      <c r="F178" s="19"/>
      <c r="G178" s="19"/>
      <c r="H178" s="19"/>
      <c r="I178" s="19"/>
      <c r="J178" s="19"/>
      <c r="K178" s="19"/>
    </row>
    <row r="179" ht="15.75" customHeight="1">
      <c r="A179" s="111"/>
      <c r="B179" s="19"/>
      <c r="C179" s="19"/>
      <c r="D179" s="19"/>
      <c r="E179" s="19"/>
      <c r="F179" s="19"/>
      <c r="G179" s="19"/>
      <c r="H179" s="19"/>
      <c r="I179" s="19"/>
      <c r="J179" s="19"/>
      <c r="K179" s="19"/>
    </row>
    <row r="180" ht="15.75" customHeight="1">
      <c r="A180" s="111"/>
      <c r="B180" s="19"/>
      <c r="C180" s="19"/>
      <c r="D180" s="19"/>
      <c r="E180" s="19"/>
      <c r="F180" s="19"/>
      <c r="G180" s="19"/>
      <c r="H180" s="19"/>
      <c r="I180" s="19"/>
      <c r="J180" s="19"/>
      <c r="K180" s="19"/>
    </row>
    <row r="181" ht="15.75" customHeight="1">
      <c r="A181" s="111"/>
      <c r="B181" s="19"/>
      <c r="C181" s="19"/>
      <c r="D181" s="19"/>
      <c r="E181" s="19"/>
      <c r="F181" s="19"/>
      <c r="G181" s="19"/>
      <c r="H181" s="19"/>
      <c r="I181" s="19"/>
      <c r="J181" s="19"/>
      <c r="K181" s="19"/>
    </row>
    <row r="182" ht="15.75" customHeight="1">
      <c r="A182" s="111"/>
      <c r="B182" s="19"/>
      <c r="C182" s="19"/>
      <c r="D182" s="19"/>
      <c r="E182" s="19"/>
      <c r="F182" s="19"/>
      <c r="G182" s="19"/>
      <c r="H182" s="19"/>
      <c r="I182" s="19"/>
      <c r="J182" s="19"/>
      <c r="K182" s="19"/>
    </row>
    <row r="183" ht="15.75" customHeight="1">
      <c r="A183" s="111"/>
      <c r="B183" s="19"/>
      <c r="C183" s="19"/>
      <c r="D183" s="19"/>
      <c r="E183" s="19"/>
      <c r="F183" s="19"/>
      <c r="G183" s="19"/>
      <c r="H183" s="19"/>
      <c r="I183" s="19"/>
      <c r="J183" s="19"/>
      <c r="K183" s="19"/>
    </row>
    <row r="184" ht="15.75" customHeight="1">
      <c r="A184" s="111"/>
      <c r="B184" s="19"/>
      <c r="C184" s="19"/>
      <c r="D184" s="19"/>
      <c r="E184" s="19"/>
      <c r="F184" s="19"/>
      <c r="G184" s="19"/>
      <c r="H184" s="19"/>
      <c r="I184" s="19"/>
      <c r="J184" s="19"/>
      <c r="K184" s="19"/>
    </row>
    <row r="185" ht="15.75" customHeight="1">
      <c r="A185" s="111"/>
      <c r="B185" s="19"/>
      <c r="C185" s="19"/>
      <c r="D185" s="19"/>
      <c r="E185" s="19"/>
      <c r="F185" s="19"/>
      <c r="G185" s="19"/>
      <c r="H185" s="19"/>
      <c r="I185" s="19"/>
      <c r="J185" s="19"/>
      <c r="K185" s="19"/>
    </row>
    <row r="186" ht="15.75" customHeight="1">
      <c r="A186" s="111"/>
      <c r="B186" s="19"/>
      <c r="C186" s="19"/>
      <c r="D186" s="19"/>
      <c r="E186" s="19"/>
      <c r="F186" s="19"/>
      <c r="G186" s="19"/>
      <c r="H186" s="19"/>
      <c r="I186" s="19"/>
      <c r="J186" s="19"/>
      <c r="K186" s="19"/>
    </row>
    <row r="187" ht="15.75" customHeight="1">
      <c r="A187" s="111"/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ht="15.75" customHeight="1">
      <c r="A188" s="111"/>
      <c r="B188" s="19"/>
      <c r="C188" s="19"/>
      <c r="D188" s="19"/>
      <c r="E188" s="19"/>
      <c r="F188" s="19"/>
      <c r="G188" s="19"/>
      <c r="H188" s="19"/>
      <c r="I188" s="19"/>
      <c r="J188" s="19"/>
      <c r="K188" s="19"/>
    </row>
    <row r="189" ht="15.75" customHeight="1">
      <c r="A189" s="111"/>
      <c r="B189" s="19"/>
      <c r="C189" s="19"/>
      <c r="D189" s="19"/>
      <c r="E189" s="19"/>
      <c r="F189" s="19"/>
      <c r="G189" s="19"/>
      <c r="H189" s="19"/>
      <c r="I189" s="19"/>
      <c r="J189" s="19"/>
      <c r="K189" s="19"/>
    </row>
    <row r="190" ht="15.75" customHeight="1">
      <c r="A190" s="111"/>
      <c r="B190" s="19"/>
      <c r="C190" s="19"/>
      <c r="D190" s="19"/>
      <c r="E190" s="19"/>
      <c r="F190" s="19"/>
      <c r="G190" s="19"/>
      <c r="H190" s="19"/>
      <c r="I190" s="19"/>
      <c r="J190" s="19"/>
      <c r="K190" s="19"/>
    </row>
    <row r="191" ht="15.75" customHeight="1">
      <c r="A191" s="111"/>
      <c r="B191" s="19"/>
      <c r="C191" s="19"/>
      <c r="D191" s="19"/>
      <c r="E191" s="19"/>
      <c r="F191" s="19"/>
      <c r="G191" s="19"/>
      <c r="H191" s="19"/>
      <c r="I191" s="19"/>
      <c r="J191" s="19"/>
      <c r="K191" s="19"/>
    </row>
    <row r="192" ht="15.75" customHeight="1">
      <c r="A192" s="111"/>
      <c r="B192" s="19"/>
      <c r="C192" s="19"/>
      <c r="D192" s="19"/>
      <c r="E192" s="19"/>
      <c r="F192" s="19"/>
      <c r="G192" s="19"/>
      <c r="H192" s="19"/>
      <c r="I192" s="19"/>
      <c r="J192" s="19"/>
      <c r="K192" s="19"/>
    </row>
    <row r="193" ht="15.75" customHeight="1">
      <c r="A193" s="111"/>
      <c r="B193" s="19"/>
      <c r="C193" s="19"/>
      <c r="D193" s="19"/>
      <c r="E193" s="19"/>
      <c r="F193" s="19"/>
      <c r="G193" s="19"/>
      <c r="H193" s="19"/>
      <c r="I193" s="19"/>
      <c r="J193" s="19"/>
      <c r="K193" s="19"/>
    </row>
    <row r="194" ht="15.75" customHeight="1">
      <c r="A194" s="111"/>
      <c r="B194" s="19"/>
      <c r="C194" s="19"/>
      <c r="D194" s="19"/>
      <c r="E194" s="19"/>
      <c r="F194" s="19"/>
      <c r="G194" s="19"/>
      <c r="H194" s="19"/>
      <c r="I194" s="19"/>
      <c r="J194" s="19"/>
      <c r="K194" s="19"/>
    </row>
    <row r="195" ht="15.75" customHeight="1">
      <c r="A195" s="111"/>
      <c r="B195" s="19"/>
      <c r="C195" s="19"/>
      <c r="D195" s="19"/>
      <c r="E195" s="19"/>
      <c r="F195" s="19"/>
      <c r="G195" s="19"/>
      <c r="H195" s="19"/>
      <c r="I195" s="19"/>
      <c r="J195" s="19"/>
      <c r="K195" s="19"/>
    </row>
    <row r="196" ht="15.75" customHeight="1">
      <c r="A196" s="111"/>
      <c r="B196" s="19"/>
      <c r="C196" s="19"/>
      <c r="D196" s="19"/>
      <c r="E196" s="19"/>
      <c r="F196" s="19"/>
      <c r="G196" s="19"/>
      <c r="H196" s="19"/>
      <c r="I196" s="19"/>
      <c r="J196" s="19"/>
      <c r="K196" s="19"/>
    </row>
    <row r="197" ht="15.75" customHeight="1">
      <c r="A197" s="111"/>
      <c r="B197" s="19"/>
      <c r="C197" s="19"/>
      <c r="D197" s="19"/>
      <c r="E197" s="19"/>
      <c r="F197" s="19"/>
      <c r="G197" s="19"/>
      <c r="H197" s="19"/>
      <c r="I197" s="19"/>
      <c r="J197" s="19"/>
      <c r="K197" s="19"/>
    </row>
    <row r="198" ht="15.75" customHeight="1">
      <c r="A198" s="111"/>
      <c r="B198" s="19"/>
      <c r="C198" s="19"/>
      <c r="D198" s="19"/>
      <c r="E198" s="19"/>
      <c r="F198" s="19"/>
      <c r="G198" s="19"/>
      <c r="H198" s="19"/>
      <c r="I198" s="19"/>
      <c r="J198" s="19"/>
      <c r="K198" s="19"/>
    </row>
    <row r="199" ht="15.75" customHeight="1">
      <c r="A199" s="111"/>
      <c r="B199" s="19"/>
      <c r="C199" s="19"/>
      <c r="D199" s="19"/>
      <c r="E199" s="19"/>
      <c r="F199" s="19"/>
      <c r="G199" s="19"/>
      <c r="H199" s="19"/>
      <c r="I199" s="19"/>
      <c r="J199" s="19"/>
      <c r="K199" s="19"/>
    </row>
    <row r="200" ht="15.75" customHeight="1">
      <c r="A200" s="111"/>
      <c r="B200" s="19"/>
      <c r="C200" s="19"/>
      <c r="D200" s="19"/>
      <c r="E200" s="19"/>
      <c r="F200" s="19"/>
      <c r="G200" s="19"/>
      <c r="H200" s="19"/>
      <c r="I200" s="19"/>
      <c r="J200" s="19"/>
      <c r="K200" s="19"/>
    </row>
    <row r="201" ht="15.75" customHeight="1">
      <c r="A201" s="111"/>
      <c r="B201" s="19"/>
      <c r="C201" s="19"/>
      <c r="D201" s="19"/>
      <c r="E201" s="19"/>
      <c r="F201" s="19"/>
      <c r="G201" s="19"/>
      <c r="H201" s="19"/>
      <c r="I201" s="19"/>
      <c r="J201" s="19"/>
      <c r="K201" s="19"/>
    </row>
    <row r="202" ht="15.75" customHeight="1">
      <c r="A202" s="111"/>
      <c r="B202" s="19"/>
      <c r="C202" s="19"/>
      <c r="D202" s="19"/>
      <c r="E202" s="19"/>
      <c r="F202" s="19"/>
      <c r="G202" s="19"/>
      <c r="H202" s="19"/>
      <c r="I202" s="19"/>
      <c r="J202" s="19"/>
      <c r="K202" s="19"/>
    </row>
    <row r="203" ht="15.75" customHeight="1">
      <c r="A203" s="111"/>
      <c r="B203" s="19"/>
      <c r="C203" s="19"/>
      <c r="D203" s="19"/>
      <c r="E203" s="19"/>
      <c r="F203" s="19"/>
      <c r="G203" s="19"/>
      <c r="H203" s="19"/>
      <c r="I203" s="19"/>
      <c r="J203" s="19"/>
      <c r="K203" s="19"/>
    </row>
    <row r="204" ht="15.75" customHeight="1">
      <c r="A204" s="111"/>
      <c r="B204" s="19"/>
      <c r="C204" s="19"/>
      <c r="D204" s="19"/>
      <c r="E204" s="19"/>
      <c r="F204" s="19"/>
      <c r="G204" s="19"/>
      <c r="H204" s="19"/>
      <c r="I204" s="19"/>
      <c r="J204" s="19"/>
      <c r="K204" s="19"/>
    </row>
    <row r="205" ht="15.75" customHeight="1">
      <c r="A205" s="111"/>
      <c r="B205" s="19"/>
      <c r="C205" s="19"/>
      <c r="D205" s="19"/>
      <c r="E205" s="19"/>
      <c r="F205" s="19"/>
      <c r="G205" s="19"/>
      <c r="H205" s="19"/>
      <c r="I205" s="19"/>
      <c r="J205" s="19"/>
      <c r="K205" s="19"/>
    </row>
    <row r="206" ht="15.75" customHeight="1">
      <c r="A206" s="111"/>
      <c r="B206" s="19"/>
      <c r="C206" s="19"/>
      <c r="D206" s="19"/>
      <c r="E206" s="19"/>
      <c r="F206" s="19"/>
      <c r="G206" s="19"/>
      <c r="H206" s="19"/>
      <c r="I206" s="19"/>
      <c r="J206" s="19"/>
      <c r="K206" s="19"/>
    </row>
    <row r="207" ht="15.75" customHeight="1">
      <c r="A207" s="111"/>
      <c r="B207" s="19"/>
      <c r="C207" s="19"/>
      <c r="D207" s="19"/>
      <c r="E207" s="19"/>
      <c r="F207" s="19"/>
      <c r="G207" s="19"/>
      <c r="H207" s="19"/>
      <c r="I207" s="19"/>
      <c r="J207" s="19"/>
      <c r="K207" s="19"/>
    </row>
    <row r="208" ht="15.75" customHeight="1">
      <c r="A208" s="111"/>
      <c r="B208" s="19"/>
      <c r="C208" s="19"/>
      <c r="D208" s="19"/>
      <c r="E208" s="19"/>
      <c r="F208" s="19"/>
      <c r="G208" s="19"/>
      <c r="H208" s="19"/>
      <c r="I208" s="19"/>
      <c r="J208" s="19"/>
      <c r="K208" s="19"/>
    </row>
    <row r="209" ht="15.75" customHeight="1">
      <c r="A209" s="111"/>
      <c r="B209" s="19"/>
      <c r="C209" s="19"/>
      <c r="D209" s="19"/>
      <c r="E209" s="19"/>
      <c r="F209" s="19"/>
      <c r="G209" s="19"/>
      <c r="H209" s="19"/>
      <c r="I209" s="19"/>
      <c r="J209" s="19"/>
      <c r="K209" s="19"/>
    </row>
    <row r="210" ht="15.75" customHeight="1">
      <c r="A210" s="111"/>
      <c r="B210" s="19"/>
      <c r="C210" s="19"/>
      <c r="D210" s="19"/>
      <c r="E210" s="19"/>
      <c r="F210" s="19"/>
      <c r="G210" s="19"/>
      <c r="H210" s="19"/>
      <c r="I210" s="19"/>
      <c r="J210" s="19"/>
      <c r="K210" s="19"/>
    </row>
    <row r="211" ht="15.75" customHeight="1">
      <c r="A211" s="111"/>
      <c r="B211" s="19"/>
      <c r="C211" s="19"/>
      <c r="D211" s="19"/>
      <c r="E211" s="19"/>
      <c r="F211" s="19"/>
      <c r="G211" s="19"/>
      <c r="H211" s="19"/>
      <c r="I211" s="19"/>
      <c r="J211" s="19"/>
      <c r="K211" s="19"/>
    </row>
    <row r="212" ht="15.75" customHeight="1">
      <c r="A212" s="111"/>
      <c r="B212" s="19"/>
      <c r="C212" s="19"/>
      <c r="D212" s="19"/>
      <c r="E212" s="19"/>
      <c r="F212" s="19"/>
      <c r="G212" s="19"/>
      <c r="H212" s="19"/>
      <c r="I212" s="19"/>
      <c r="J212" s="19"/>
      <c r="K212" s="19"/>
    </row>
    <row r="213" ht="15.75" customHeight="1">
      <c r="A213" s="111"/>
      <c r="B213" s="19"/>
      <c r="C213" s="19"/>
      <c r="D213" s="19"/>
      <c r="E213" s="19"/>
      <c r="F213" s="19"/>
      <c r="G213" s="19"/>
      <c r="H213" s="19"/>
      <c r="I213" s="19"/>
      <c r="J213" s="19"/>
      <c r="K213" s="19"/>
    </row>
    <row r="214" ht="15.75" customHeight="1">
      <c r="A214" s="111"/>
      <c r="B214" s="19"/>
      <c r="C214" s="19"/>
      <c r="D214" s="19"/>
      <c r="E214" s="19"/>
      <c r="F214" s="19"/>
      <c r="G214" s="19"/>
      <c r="H214" s="19"/>
      <c r="I214" s="19"/>
      <c r="J214" s="19"/>
      <c r="K214" s="19"/>
    </row>
    <row r="215" ht="15.75" customHeight="1">
      <c r="A215" s="111"/>
      <c r="B215" s="19"/>
      <c r="C215" s="19"/>
      <c r="D215" s="19"/>
      <c r="E215" s="19"/>
      <c r="F215" s="19"/>
      <c r="G215" s="19"/>
      <c r="H215" s="19"/>
      <c r="I215" s="19"/>
      <c r="J215" s="19"/>
      <c r="K215" s="19"/>
    </row>
    <row r="216" ht="15.75" customHeight="1">
      <c r="A216" s="111"/>
      <c r="B216" s="19"/>
      <c r="C216" s="19"/>
      <c r="D216" s="19"/>
      <c r="E216" s="19"/>
      <c r="F216" s="19"/>
      <c r="G216" s="19"/>
      <c r="H216" s="19"/>
      <c r="I216" s="19"/>
      <c r="J216" s="19"/>
      <c r="K216" s="19"/>
    </row>
    <row r="217" ht="15.75" customHeight="1">
      <c r="A217" s="111"/>
      <c r="B217" s="19"/>
      <c r="C217" s="19"/>
      <c r="D217" s="19"/>
      <c r="E217" s="19"/>
      <c r="F217" s="19"/>
      <c r="G217" s="19"/>
      <c r="H217" s="19"/>
      <c r="I217" s="19"/>
      <c r="J217" s="19"/>
      <c r="K217" s="19"/>
    </row>
    <row r="218" ht="15.75" customHeight="1">
      <c r="A218" s="111"/>
      <c r="B218" s="19"/>
      <c r="C218" s="19"/>
      <c r="D218" s="19"/>
      <c r="E218" s="19"/>
      <c r="F218" s="19"/>
      <c r="G218" s="19"/>
      <c r="H218" s="19"/>
      <c r="I218" s="19"/>
      <c r="J218" s="19"/>
      <c r="K218" s="19"/>
    </row>
    <row r="219" ht="15.75" customHeight="1">
      <c r="A219" s="111"/>
      <c r="B219" s="19"/>
      <c r="C219" s="19"/>
      <c r="D219" s="19"/>
      <c r="E219" s="19"/>
      <c r="F219" s="19"/>
      <c r="G219" s="19"/>
      <c r="H219" s="19"/>
      <c r="I219" s="19"/>
      <c r="J219" s="19"/>
      <c r="K219" s="19"/>
    </row>
    <row r="220" ht="15.75" customHeight="1">
      <c r="A220" s="111"/>
      <c r="B220" s="19"/>
      <c r="C220" s="19"/>
      <c r="D220" s="19"/>
      <c r="E220" s="19"/>
      <c r="F220" s="19"/>
      <c r="G220" s="19"/>
      <c r="H220" s="19"/>
      <c r="I220" s="19"/>
      <c r="J220" s="19"/>
      <c r="K220" s="1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E16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000">
    <cfRule type="cellIs" dxfId="0" priority="2" operator="greaterThan">
      <formula>0</formula>
    </cfRule>
  </conditionalFormatting>
  <conditionalFormatting sqref="L1:L1000">
    <cfRule type="cellIs" dxfId="1" priority="3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13"/>
    <col customWidth="1" min="2" max="2" width="33.5"/>
    <col customWidth="1" min="3" max="3" width="18.88"/>
    <col customWidth="1" min="4" max="10" width="14.63"/>
  </cols>
  <sheetData>
    <row r="1" ht="15.0" customHeight="1">
      <c r="A1" s="196" t="s">
        <v>267</v>
      </c>
      <c r="B1" s="196" t="s">
        <v>1</v>
      </c>
      <c r="C1" s="196" t="s">
        <v>61</v>
      </c>
      <c r="D1" s="196" t="s">
        <v>248</v>
      </c>
      <c r="E1" s="196" t="s">
        <v>63</v>
      </c>
      <c r="F1" s="197" t="s">
        <v>249</v>
      </c>
      <c r="G1" s="198" t="s">
        <v>250</v>
      </c>
      <c r="H1" s="199" t="s">
        <v>251</v>
      </c>
      <c r="I1" s="200" t="s">
        <v>252</v>
      </c>
    </row>
    <row r="2" ht="15.0" customHeight="1">
      <c r="A2" s="65" t="s">
        <v>73</v>
      </c>
      <c r="B2" s="65" t="s">
        <v>168</v>
      </c>
      <c r="C2" s="65" t="s">
        <v>74</v>
      </c>
      <c r="D2" s="65" t="s">
        <v>261</v>
      </c>
      <c r="E2" s="68">
        <v>-102.0</v>
      </c>
      <c r="F2" s="218">
        <v>73.03</v>
      </c>
      <c r="G2" s="219">
        <v>45168.0</v>
      </c>
      <c r="H2" s="70">
        <v>6.851192107426574E-4</v>
      </c>
      <c r="I2" s="218">
        <f t="shared" ref="I2:I154" si="1">F2*E2*-1</f>
        <v>7449.06</v>
      </c>
    </row>
    <row r="3" ht="15.0" customHeight="1">
      <c r="A3" s="65" t="s">
        <v>76</v>
      </c>
      <c r="B3" s="65" t="s">
        <v>176</v>
      </c>
      <c r="C3" s="65" t="s">
        <v>77</v>
      </c>
      <c r="D3" s="65" t="s">
        <v>261</v>
      </c>
      <c r="E3" s="68">
        <v>-51.0</v>
      </c>
      <c r="F3" s="218">
        <v>88.85</v>
      </c>
      <c r="G3" s="219">
        <v>45168.0</v>
      </c>
      <c r="H3" s="70">
        <v>0.10716510903426779</v>
      </c>
      <c r="I3" s="218">
        <f t="shared" si="1"/>
        <v>4531.35</v>
      </c>
    </row>
    <row r="4" ht="15.0" customHeight="1">
      <c r="A4" s="65" t="s">
        <v>86</v>
      </c>
      <c r="B4" s="65" t="s">
        <v>221</v>
      </c>
      <c r="C4" s="65" t="s">
        <v>87</v>
      </c>
      <c r="D4" s="65" t="s">
        <v>261</v>
      </c>
      <c r="E4" s="68">
        <v>-69.0</v>
      </c>
      <c r="F4" s="218">
        <v>174.42</v>
      </c>
      <c r="G4" s="219">
        <v>45168.0</v>
      </c>
      <c r="H4" s="70">
        <v>0.2142011834319526</v>
      </c>
      <c r="I4" s="218">
        <f t="shared" si="1"/>
        <v>12034.98</v>
      </c>
    </row>
    <row r="5" ht="15.0" customHeight="1">
      <c r="A5" s="65" t="s">
        <v>101</v>
      </c>
      <c r="B5" s="65" t="s">
        <v>394</v>
      </c>
      <c r="C5" s="65" t="s">
        <v>79</v>
      </c>
      <c r="D5" s="65" t="s">
        <v>261</v>
      </c>
      <c r="E5" s="68">
        <v>-32.0</v>
      </c>
      <c r="F5" s="218">
        <v>118.01</v>
      </c>
      <c r="G5" s="219">
        <v>45168.0</v>
      </c>
      <c r="H5" s="70">
        <v>2.04071115691832</v>
      </c>
      <c r="I5" s="218">
        <f t="shared" si="1"/>
        <v>3776.32</v>
      </c>
    </row>
    <row r="6" ht="15.0" customHeight="1">
      <c r="A6" s="65" t="s">
        <v>102</v>
      </c>
      <c r="B6" s="65" t="s">
        <v>421</v>
      </c>
      <c r="C6" s="65" t="s">
        <v>79</v>
      </c>
      <c r="D6" s="65" t="s">
        <v>261</v>
      </c>
      <c r="E6" s="68">
        <v>-42.0</v>
      </c>
      <c r="F6" s="218">
        <v>85.43</v>
      </c>
      <c r="G6" s="219">
        <v>45168.0</v>
      </c>
      <c r="H6" s="70">
        <v>0.16342094511779925</v>
      </c>
      <c r="I6" s="218">
        <f t="shared" si="1"/>
        <v>3588.06</v>
      </c>
    </row>
    <row r="7" ht="15.0" customHeight="1">
      <c r="A7" s="65" t="s">
        <v>103</v>
      </c>
      <c r="B7" s="65" t="s">
        <v>398</v>
      </c>
      <c r="C7" s="65" t="s">
        <v>79</v>
      </c>
      <c r="D7" s="65" t="s">
        <v>261</v>
      </c>
      <c r="E7" s="68">
        <v>-34.0</v>
      </c>
      <c r="F7" s="218">
        <v>78.13</v>
      </c>
      <c r="G7" s="219">
        <v>45168.0</v>
      </c>
      <c r="H7" s="70">
        <v>0.7036633231574356</v>
      </c>
      <c r="I7" s="218">
        <f t="shared" si="1"/>
        <v>2656.42</v>
      </c>
    </row>
    <row r="8" ht="15.0" customHeight="1">
      <c r="A8" s="65" t="s">
        <v>104</v>
      </c>
      <c r="B8" s="65" t="s">
        <v>336</v>
      </c>
      <c r="C8" s="65" t="s">
        <v>79</v>
      </c>
      <c r="D8" s="65" t="s">
        <v>261</v>
      </c>
      <c r="E8" s="68">
        <v>-48.0</v>
      </c>
      <c r="F8" s="218">
        <v>91.9</v>
      </c>
      <c r="G8" s="219">
        <v>45168.0</v>
      </c>
      <c r="H8" s="70">
        <v>0.23041906547061197</v>
      </c>
      <c r="I8" s="218">
        <f t="shared" si="1"/>
        <v>4411.2</v>
      </c>
    </row>
    <row r="9" ht="15.0" customHeight="1">
      <c r="A9" s="65" t="s">
        <v>105</v>
      </c>
      <c r="B9" s="65" t="s">
        <v>178</v>
      </c>
      <c r="C9" s="65" t="s">
        <v>79</v>
      </c>
      <c r="D9" s="65" t="s">
        <v>261</v>
      </c>
      <c r="E9" s="68">
        <v>-41.0</v>
      </c>
      <c r="F9" s="218">
        <v>122.59</v>
      </c>
      <c r="G9" s="219">
        <v>45168.0</v>
      </c>
      <c r="H9" s="70">
        <v>0.2449476998070479</v>
      </c>
      <c r="I9" s="218">
        <f t="shared" si="1"/>
        <v>5026.19</v>
      </c>
    </row>
    <row r="10" ht="15.0" customHeight="1">
      <c r="A10" s="65" t="s">
        <v>106</v>
      </c>
      <c r="B10" s="65" t="s">
        <v>180</v>
      </c>
      <c r="C10" s="65" t="s">
        <v>79</v>
      </c>
      <c r="D10" s="65" t="s">
        <v>261</v>
      </c>
      <c r="E10" s="68">
        <v>-62.0</v>
      </c>
      <c r="F10" s="218">
        <v>77.35</v>
      </c>
      <c r="G10" s="219">
        <v>45168.0</v>
      </c>
      <c r="H10" s="70">
        <v>0.6474973375931841</v>
      </c>
      <c r="I10" s="218">
        <f t="shared" si="1"/>
        <v>4795.7</v>
      </c>
    </row>
    <row r="11" ht="15.0" customHeight="1">
      <c r="A11" s="65" t="s">
        <v>118</v>
      </c>
      <c r="B11" s="65" t="s">
        <v>210</v>
      </c>
      <c r="C11" s="65" t="s">
        <v>85</v>
      </c>
      <c r="D11" s="65" t="s">
        <v>261</v>
      </c>
      <c r="E11" s="68">
        <v>-57.0</v>
      </c>
      <c r="F11" s="218">
        <v>125.11</v>
      </c>
      <c r="G11" s="219">
        <v>45168.0</v>
      </c>
      <c r="H11" s="70">
        <v>0.9609717868338559</v>
      </c>
      <c r="I11" s="218">
        <f t="shared" si="1"/>
        <v>7131.27</v>
      </c>
    </row>
    <row r="12" ht="15.0" customHeight="1">
      <c r="A12" s="65" t="s">
        <v>119</v>
      </c>
      <c r="B12" s="65" t="s">
        <v>411</v>
      </c>
      <c r="C12" s="65" t="s">
        <v>85</v>
      </c>
      <c r="D12" s="65" t="s">
        <v>261</v>
      </c>
      <c r="E12" s="68">
        <v>-27.0</v>
      </c>
      <c r="F12" s="218">
        <v>107.83</v>
      </c>
      <c r="G12" s="219">
        <v>45168.0</v>
      </c>
      <c r="H12" s="70">
        <v>0.1548677305344328</v>
      </c>
      <c r="I12" s="218">
        <f t="shared" si="1"/>
        <v>2911.41</v>
      </c>
    </row>
    <row r="13" ht="15.0" customHeight="1">
      <c r="A13" s="65" t="s">
        <v>422</v>
      </c>
      <c r="B13" s="65" t="s">
        <v>423</v>
      </c>
      <c r="C13" s="65" t="s">
        <v>85</v>
      </c>
      <c r="D13" s="65" t="s">
        <v>261</v>
      </c>
      <c r="E13" s="68">
        <v>-74.0</v>
      </c>
      <c r="F13" s="218">
        <v>63.45</v>
      </c>
      <c r="G13" s="219">
        <v>45168.0</v>
      </c>
      <c r="H13" s="70">
        <v>0.3874917996938554</v>
      </c>
      <c r="I13" s="218">
        <f t="shared" si="1"/>
        <v>4695.3</v>
      </c>
    </row>
    <row r="14" ht="15.0" customHeight="1">
      <c r="A14" s="65" t="s">
        <v>120</v>
      </c>
      <c r="B14" s="65" t="s">
        <v>211</v>
      </c>
      <c r="C14" s="65" t="s">
        <v>85</v>
      </c>
      <c r="D14" s="65" t="s">
        <v>261</v>
      </c>
      <c r="E14" s="68">
        <v>-42.0</v>
      </c>
      <c r="F14" s="218">
        <v>61.88</v>
      </c>
      <c r="G14" s="219">
        <v>45168.0</v>
      </c>
      <c r="H14" s="70">
        <v>-0.03463338533541327</v>
      </c>
      <c r="I14" s="218">
        <f t="shared" si="1"/>
        <v>2598.96</v>
      </c>
    </row>
    <row r="15" ht="15.0" customHeight="1">
      <c r="A15" s="65" t="s">
        <v>121</v>
      </c>
      <c r="B15" s="65" t="s">
        <v>402</v>
      </c>
      <c r="C15" s="65" t="s">
        <v>85</v>
      </c>
      <c r="D15" s="65" t="s">
        <v>261</v>
      </c>
      <c r="E15" s="68">
        <v>-10.0</v>
      </c>
      <c r="F15" s="218">
        <v>182.9</v>
      </c>
      <c r="G15" s="219">
        <v>45168.0</v>
      </c>
      <c r="H15" s="70">
        <v>-0.10997566909975665</v>
      </c>
      <c r="I15" s="218">
        <f t="shared" si="1"/>
        <v>1829</v>
      </c>
    </row>
    <row r="16" ht="15.0" customHeight="1">
      <c r="A16" s="65" t="s">
        <v>129</v>
      </c>
      <c r="B16" s="65" t="s">
        <v>400</v>
      </c>
      <c r="C16" s="65" t="s">
        <v>89</v>
      </c>
      <c r="D16" s="65" t="s">
        <v>261</v>
      </c>
      <c r="E16" s="68">
        <v>-10.0</v>
      </c>
      <c r="F16" s="218">
        <v>84.16</v>
      </c>
      <c r="G16" s="219">
        <v>45168.0</v>
      </c>
      <c r="H16" s="70">
        <v>0.46060395695938916</v>
      </c>
      <c r="I16" s="218">
        <f t="shared" si="1"/>
        <v>841.6</v>
      </c>
    </row>
    <row r="17" ht="15.0" customHeight="1">
      <c r="A17" s="65" t="s">
        <v>130</v>
      </c>
      <c r="B17" s="65" t="s">
        <v>213</v>
      </c>
      <c r="C17" s="65" t="s">
        <v>89</v>
      </c>
      <c r="D17" s="65" t="s">
        <v>261</v>
      </c>
      <c r="E17" s="68">
        <v>-37.0</v>
      </c>
      <c r="F17" s="218">
        <v>135.28</v>
      </c>
      <c r="G17" s="219">
        <v>45168.0</v>
      </c>
      <c r="H17" s="70">
        <v>8.767509025270758</v>
      </c>
      <c r="I17" s="218">
        <f t="shared" si="1"/>
        <v>5005.36</v>
      </c>
    </row>
    <row r="18" ht="15.0" customHeight="1">
      <c r="A18" s="65" t="s">
        <v>131</v>
      </c>
      <c r="B18" s="65" t="s">
        <v>399</v>
      </c>
      <c r="C18" s="65" t="s">
        <v>89</v>
      </c>
      <c r="D18" s="65" t="s">
        <v>261</v>
      </c>
      <c r="E18" s="68">
        <v>-19.0</v>
      </c>
      <c r="F18" s="218">
        <v>45.54</v>
      </c>
      <c r="G18" s="219">
        <v>45168.0</v>
      </c>
      <c r="H18" s="70">
        <v>-0.3027101515847497</v>
      </c>
      <c r="I18" s="218">
        <f t="shared" si="1"/>
        <v>865.26</v>
      </c>
    </row>
    <row r="19" ht="15.0" customHeight="1">
      <c r="A19" s="65" t="s">
        <v>132</v>
      </c>
      <c r="B19" s="65" t="s">
        <v>222</v>
      </c>
      <c r="C19" s="65" t="s">
        <v>89</v>
      </c>
      <c r="D19" s="65" t="s">
        <v>261</v>
      </c>
      <c r="E19" s="68">
        <v>-12.0</v>
      </c>
      <c r="F19" s="218">
        <v>297.66</v>
      </c>
      <c r="G19" s="219">
        <v>45168.0</v>
      </c>
      <c r="H19" s="70">
        <v>0.2745568211013105</v>
      </c>
      <c r="I19" s="218">
        <f t="shared" si="1"/>
        <v>3571.92</v>
      </c>
    </row>
    <row r="20" ht="15.0" customHeight="1">
      <c r="A20" s="65" t="s">
        <v>424</v>
      </c>
      <c r="B20" s="65" t="s">
        <v>425</v>
      </c>
      <c r="C20" s="65" t="s">
        <v>89</v>
      </c>
      <c r="D20" s="65" t="s">
        <v>261</v>
      </c>
      <c r="E20" s="68">
        <v>-168.0</v>
      </c>
      <c r="F20" s="218">
        <v>13.06</v>
      </c>
      <c r="G20" s="219">
        <v>45168.0</v>
      </c>
      <c r="H20" s="70">
        <v>-0.13965744400527003</v>
      </c>
      <c r="I20" s="218">
        <f t="shared" si="1"/>
        <v>2194.08</v>
      </c>
    </row>
    <row r="21" ht="15.0" customHeight="1">
      <c r="A21" s="65" t="s">
        <v>133</v>
      </c>
      <c r="B21" s="65" t="s">
        <v>226</v>
      </c>
      <c r="C21" s="65" t="s">
        <v>91</v>
      </c>
      <c r="D21" s="65" t="s">
        <v>261</v>
      </c>
      <c r="E21" s="68">
        <v>-68.0</v>
      </c>
      <c r="F21" s="218">
        <v>67.21</v>
      </c>
      <c r="G21" s="219">
        <v>45168.0</v>
      </c>
      <c r="H21" s="70">
        <v>0.6578687715836209</v>
      </c>
      <c r="I21" s="218">
        <f t="shared" si="1"/>
        <v>4570.28</v>
      </c>
    </row>
    <row r="22" ht="15.0" customHeight="1">
      <c r="A22" s="65" t="s">
        <v>134</v>
      </c>
      <c r="B22" s="65" t="s">
        <v>227</v>
      </c>
      <c r="C22" s="65" t="s">
        <v>91</v>
      </c>
      <c r="D22" s="65" t="s">
        <v>261</v>
      </c>
      <c r="E22" s="68">
        <v>-106.0</v>
      </c>
      <c r="F22" s="218">
        <v>105.92</v>
      </c>
      <c r="G22" s="219">
        <v>45168.0</v>
      </c>
      <c r="H22" s="70">
        <v>0.2218248932979583</v>
      </c>
      <c r="I22" s="218">
        <f t="shared" si="1"/>
        <v>11227.52</v>
      </c>
    </row>
    <row r="23" ht="15.0" customHeight="1">
      <c r="A23" s="65" t="s">
        <v>426</v>
      </c>
      <c r="B23" s="65" t="s">
        <v>427</v>
      </c>
      <c r="C23" s="65" t="s">
        <v>91</v>
      </c>
      <c r="D23" s="65" t="s">
        <v>261</v>
      </c>
      <c r="E23" s="68">
        <v>-53.0</v>
      </c>
      <c r="F23" s="218">
        <v>140.24</v>
      </c>
      <c r="G23" s="219">
        <v>45168.0</v>
      </c>
      <c r="H23" s="70">
        <v>-0.04566178972439594</v>
      </c>
      <c r="I23" s="218">
        <f t="shared" si="1"/>
        <v>7432.72</v>
      </c>
    </row>
    <row r="24" ht="15.0" customHeight="1">
      <c r="A24" s="65" t="s">
        <v>135</v>
      </c>
      <c r="B24" s="65" t="s">
        <v>401</v>
      </c>
      <c r="C24" s="65" t="s">
        <v>91</v>
      </c>
      <c r="D24" s="65" t="s">
        <v>261</v>
      </c>
      <c r="E24" s="68">
        <v>-144.0</v>
      </c>
      <c r="F24" s="218">
        <v>25.31</v>
      </c>
      <c r="G24" s="219">
        <v>45168.0</v>
      </c>
      <c r="H24" s="70">
        <v>-0.20107323232323238</v>
      </c>
      <c r="I24" s="218">
        <f t="shared" si="1"/>
        <v>3644.64</v>
      </c>
    </row>
    <row r="25" ht="15.0" customHeight="1">
      <c r="A25" s="23" t="s">
        <v>428</v>
      </c>
      <c r="B25" s="23" t="s">
        <v>429</v>
      </c>
      <c r="C25" s="23" t="s">
        <v>79</v>
      </c>
      <c r="D25" s="23" t="s">
        <v>253</v>
      </c>
      <c r="E25" s="23">
        <v>-417.0</v>
      </c>
      <c r="F25" s="71">
        <v>75.81</v>
      </c>
      <c r="G25" s="50">
        <v>45170.0</v>
      </c>
      <c r="H25" s="19">
        <v>0.3484525080042691</v>
      </c>
      <c r="I25" s="71">
        <f t="shared" si="1"/>
        <v>31612.77</v>
      </c>
      <c r="J25" s="23">
        <v>1.0</v>
      </c>
    </row>
    <row r="26" ht="15.0" customHeight="1">
      <c r="A26" s="23" t="s">
        <v>78</v>
      </c>
      <c r="B26" s="23" t="s">
        <v>191</v>
      </c>
      <c r="C26" s="23" t="s">
        <v>79</v>
      </c>
      <c r="D26" s="23" t="s">
        <v>264</v>
      </c>
      <c r="E26" s="23">
        <v>912.0</v>
      </c>
      <c r="F26" s="71">
        <v>34.68</v>
      </c>
      <c r="G26" s="50">
        <v>45170.0</v>
      </c>
      <c r="H26" s="19" t="s">
        <v>278</v>
      </c>
      <c r="I26" s="71">
        <f t="shared" si="1"/>
        <v>-31628.16</v>
      </c>
    </row>
    <row r="27" ht="15.0" customHeight="1">
      <c r="A27" s="65" t="s">
        <v>374</v>
      </c>
      <c r="B27" s="65" t="s">
        <v>375</v>
      </c>
      <c r="C27" s="65" t="s">
        <v>69</v>
      </c>
      <c r="D27" s="65" t="s">
        <v>253</v>
      </c>
      <c r="E27" s="65">
        <v>-118.0</v>
      </c>
      <c r="F27" s="218">
        <v>31.52</v>
      </c>
      <c r="G27" s="219">
        <v>45175.0</v>
      </c>
      <c r="H27" s="67">
        <v>-0.1128623698283141</v>
      </c>
      <c r="I27" s="218">
        <f t="shared" si="1"/>
        <v>3719.36</v>
      </c>
      <c r="J27" s="23">
        <v>2.0</v>
      </c>
    </row>
    <row r="28" ht="15.0" customHeight="1">
      <c r="A28" s="65" t="s">
        <v>430</v>
      </c>
      <c r="B28" s="65" t="s">
        <v>431</v>
      </c>
      <c r="C28" s="65" t="s">
        <v>69</v>
      </c>
      <c r="D28" s="65" t="s">
        <v>253</v>
      </c>
      <c r="E28" s="65">
        <v>-38.0</v>
      </c>
      <c r="F28" s="218">
        <v>116.96</v>
      </c>
      <c r="G28" s="219">
        <v>45175.0</v>
      </c>
      <c r="H28" s="67">
        <v>0.15254237288135575</v>
      </c>
      <c r="I28" s="218">
        <f t="shared" si="1"/>
        <v>4444.48</v>
      </c>
    </row>
    <row r="29" ht="15.0" customHeight="1">
      <c r="A29" s="65" t="s">
        <v>432</v>
      </c>
      <c r="B29" s="65" t="s">
        <v>433</v>
      </c>
      <c r="C29" s="65" t="s">
        <v>69</v>
      </c>
      <c r="D29" s="65" t="s">
        <v>253</v>
      </c>
      <c r="E29" s="65">
        <v>-259.0</v>
      </c>
      <c r="F29" s="218">
        <v>17.78</v>
      </c>
      <c r="G29" s="219">
        <v>45175.0</v>
      </c>
      <c r="H29" s="67">
        <v>0.19009370816599747</v>
      </c>
      <c r="I29" s="218">
        <f t="shared" si="1"/>
        <v>4605.02</v>
      </c>
    </row>
    <row r="30" ht="15.0" customHeight="1">
      <c r="A30" s="65" t="s">
        <v>434</v>
      </c>
      <c r="B30" s="65" t="s">
        <v>435</v>
      </c>
      <c r="C30" s="65" t="s">
        <v>69</v>
      </c>
      <c r="D30" s="65" t="s">
        <v>253</v>
      </c>
      <c r="E30" s="65">
        <v>-40.0</v>
      </c>
      <c r="F30" s="218">
        <v>110.55</v>
      </c>
      <c r="G30" s="219">
        <v>45175.0</v>
      </c>
      <c r="H30" s="67">
        <v>0.14310826181366987</v>
      </c>
      <c r="I30" s="218">
        <f t="shared" si="1"/>
        <v>4422</v>
      </c>
    </row>
    <row r="31" ht="15.0" customHeight="1">
      <c r="A31" s="65" t="s">
        <v>138</v>
      </c>
      <c r="B31" s="65" t="s">
        <v>301</v>
      </c>
      <c r="C31" s="65" t="s">
        <v>69</v>
      </c>
      <c r="D31" s="65" t="s">
        <v>253</v>
      </c>
      <c r="E31" s="65">
        <v>-45.0</v>
      </c>
      <c r="F31" s="218">
        <v>147.65</v>
      </c>
      <c r="G31" s="219">
        <v>45175.0</v>
      </c>
      <c r="H31" s="67">
        <v>0.1258101410598551</v>
      </c>
      <c r="I31" s="218">
        <f t="shared" si="1"/>
        <v>6644.25</v>
      </c>
    </row>
    <row r="32" ht="15.0" customHeight="1">
      <c r="A32" s="65" t="s">
        <v>436</v>
      </c>
      <c r="B32" s="65" t="s">
        <v>437</v>
      </c>
      <c r="C32" s="65" t="s">
        <v>69</v>
      </c>
      <c r="D32" s="65" t="s">
        <v>253</v>
      </c>
      <c r="E32" s="65">
        <v>-21.0</v>
      </c>
      <c r="F32" s="218">
        <v>100.07</v>
      </c>
      <c r="G32" s="219">
        <v>45175.0</v>
      </c>
      <c r="H32" s="67">
        <v>0.058157978217193707</v>
      </c>
      <c r="I32" s="218">
        <f t="shared" si="1"/>
        <v>2101.47</v>
      </c>
    </row>
    <row r="33" ht="15.0" customHeight="1">
      <c r="A33" s="65" t="s">
        <v>438</v>
      </c>
      <c r="B33" s="65" t="s">
        <v>439</v>
      </c>
      <c r="C33" s="65" t="s">
        <v>69</v>
      </c>
      <c r="D33" s="65" t="s">
        <v>253</v>
      </c>
      <c r="E33" s="65">
        <v>-43.0</v>
      </c>
      <c r="F33" s="218">
        <v>40.5</v>
      </c>
      <c r="G33" s="219">
        <v>45175.0</v>
      </c>
      <c r="H33" s="67">
        <v>0.030796640366505423</v>
      </c>
      <c r="I33" s="218">
        <f t="shared" si="1"/>
        <v>1741.5</v>
      </c>
    </row>
    <row r="34" ht="15.0" customHeight="1">
      <c r="A34" s="65" t="s">
        <v>99</v>
      </c>
      <c r="B34" s="65" t="s">
        <v>170</v>
      </c>
      <c r="C34" s="65" t="s">
        <v>69</v>
      </c>
      <c r="D34" s="65" t="s">
        <v>253</v>
      </c>
      <c r="E34" s="65">
        <v>-14.0</v>
      </c>
      <c r="F34" s="218">
        <v>155.92</v>
      </c>
      <c r="G34" s="219">
        <v>45175.0</v>
      </c>
      <c r="H34" s="67">
        <v>1.1130234449112342</v>
      </c>
      <c r="I34" s="218">
        <f t="shared" si="1"/>
        <v>2182.88</v>
      </c>
    </row>
    <row r="35" ht="15.0" customHeight="1">
      <c r="A35" s="65" t="s">
        <v>440</v>
      </c>
      <c r="B35" s="65" t="s">
        <v>441</v>
      </c>
      <c r="C35" s="65" t="s">
        <v>69</v>
      </c>
      <c r="D35" s="65" t="s">
        <v>253</v>
      </c>
      <c r="E35" s="65">
        <v>-10.0</v>
      </c>
      <c r="F35" s="218">
        <v>275.17</v>
      </c>
      <c r="G35" s="219">
        <v>45175.0</v>
      </c>
      <c r="H35" s="67">
        <v>0.32303446418955306</v>
      </c>
      <c r="I35" s="218">
        <f t="shared" si="1"/>
        <v>2751.7</v>
      </c>
    </row>
    <row r="36" ht="15.0" customHeight="1">
      <c r="A36" s="65" t="s">
        <v>145</v>
      </c>
      <c r="B36" s="65" t="s">
        <v>442</v>
      </c>
      <c r="C36" s="65" t="s">
        <v>69</v>
      </c>
      <c r="D36" s="65" t="s">
        <v>253</v>
      </c>
      <c r="E36" s="65">
        <v>-124.0</v>
      </c>
      <c r="F36" s="218">
        <v>16.02</v>
      </c>
      <c r="G36" s="219">
        <v>45175.0</v>
      </c>
      <c r="H36" s="67">
        <v>-0.001620341518135393</v>
      </c>
      <c r="I36" s="218">
        <f t="shared" si="1"/>
        <v>1986.48</v>
      </c>
    </row>
    <row r="37" ht="15.0" customHeight="1">
      <c r="A37" s="65" t="s">
        <v>148</v>
      </c>
      <c r="B37" s="65" t="s">
        <v>443</v>
      </c>
      <c r="C37" s="65" t="s">
        <v>69</v>
      </c>
      <c r="D37" s="65" t="s">
        <v>253</v>
      </c>
      <c r="E37" s="65">
        <v>-37.0</v>
      </c>
      <c r="F37" s="218">
        <v>50.95</v>
      </c>
      <c r="G37" s="219">
        <v>45175.0</v>
      </c>
      <c r="H37" s="67">
        <v>-0.061486884762746774</v>
      </c>
      <c r="I37" s="218">
        <f t="shared" si="1"/>
        <v>1885.15</v>
      </c>
    </row>
    <row r="38" ht="15.0" customHeight="1">
      <c r="A38" s="65" t="s">
        <v>444</v>
      </c>
      <c r="B38" s="65" t="s">
        <v>445</v>
      </c>
      <c r="C38" s="65" t="s">
        <v>69</v>
      </c>
      <c r="D38" s="65" t="s">
        <v>253</v>
      </c>
      <c r="E38" s="65">
        <v>-33.0</v>
      </c>
      <c r="F38" s="218">
        <v>63.33</v>
      </c>
      <c r="G38" s="219">
        <v>45175.0</v>
      </c>
      <c r="H38" s="67">
        <v>0.055324112647892054</v>
      </c>
      <c r="I38" s="218">
        <f t="shared" si="1"/>
        <v>2089.89</v>
      </c>
    </row>
    <row r="39" ht="15.0" customHeight="1">
      <c r="A39" s="65" t="s">
        <v>149</v>
      </c>
      <c r="B39" s="65" t="s">
        <v>446</v>
      </c>
      <c r="C39" s="65" t="s">
        <v>69</v>
      </c>
      <c r="D39" s="65" t="s">
        <v>253</v>
      </c>
      <c r="E39" s="65">
        <v>-67.0</v>
      </c>
      <c r="F39" s="218">
        <v>32.36</v>
      </c>
      <c r="G39" s="219">
        <v>45175.0</v>
      </c>
      <c r="H39" s="67">
        <v>0.0860591090019398</v>
      </c>
      <c r="I39" s="218">
        <f t="shared" si="1"/>
        <v>2168.12</v>
      </c>
    </row>
    <row r="40" ht="15.0" customHeight="1">
      <c r="A40" s="65" t="s">
        <v>447</v>
      </c>
      <c r="B40" s="65" t="s">
        <v>448</v>
      </c>
      <c r="C40" s="65" t="s">
        <v>69</v>
      </c>
      <c r="D40" s="65" t="s">
        <v>253</v>
      </c>
      <c r="E40" s="65">
        <v>-7.0</v>
      </c>
      <c r="F40" s="218">
        <v>271.42</v>
      </c>
      <c r="G40" s="219">
        <v>45175.0</v>
      </c>
      <c r="H40" s="67">
        <v>-0.1256784834184289</v>
      </c>
      <c r="I40" s="218">
        <f t="shared" si="1"/>
        <v>1899.94</v>
      </c>
    </row>
    <row r="41" ht="15.0" customHeight="1">
      <c r="A41" s="65" t="s">
        <v>142</v>
      </c>
      <c r="B41" s="65" t="s">
        <v>449</v>
      </c>
      <c r="C41" s="65" t="s">
        <v>69</v>
      </c>
      <c r="D41" s="65" t="s">
        <v>264</v>
      </c>
      <c r="E41" s="65">
        <v>29.0</v>
      </c>
      <c r="F41" s="218">
        <v>69.375</v>
      </c>
      <c r="G41" s="219">
        <v>45175.0</v>
      </c>
      <c r="H41" s="67" t="s">
        <v>278</v>
      </c>
      <c r="I41" s="218">
        <f t="shared" si="1"/>
        <v>-2011.875</v>
      </c>
      <c r="J41" s="23">
        <v>3.0</v>
      </c>
    </row>
    <row r="42" ht="15.0" customHeight="1">
      <c r="A42" s="65" t="s">
        <v>144</v>
      </c>
      <c r="B42" s="65" t="s">
        <v>450</v>
      </c>
      <c r="C42" s="65" t="s">
        <v>69</v>
      </c>
      <c r="D42" s="65" t="s">
        <v>264</v>
      </c>
      <c r="E42" s="65">
        <v>26.0</v>
      </c>
      <c r="F42" s="218">
        <v>77.34</v>
      </c>
      <c r="G42" s="219">
        <v>45175.0</v>
      </c>
      <c r="H42" s="67" t="s">
        <v>278</v>
      </c>
      <c r="I42" s="218">
        <f t="shared" si="1"/>
        <v>-2010.84</v>
      </c>
    </row>
    <row r="43" ht="15.0" customHeight="1">
      <c r="A43" s="65" t="s">
        <v>145</v>
      </c>
      <c r="B43" s="65" t="s">
        <v>442</v>
      </c>
      <c r="C43" s="65" t="s">
        <v>69</v>
      </c>
      <c r="D43" s="65" t="s">
        <v>264</v>
      </c>
      <c r="E43" s="65">
        <v>126.0</v>
      </c>
      <c r="F43" s="218">
        <v>16.0</v>
      </c>
      <c r="G43" s="219">
        <v>45175.0</v>
      </c>
      <c r="H43" s="67" t="s">
        <v>278</v>
      </c>
      <c r="I43" s="218">
        <f t="shared" si="1"/>
        <v>-2016</v>
      </c>
    </row>
    <row r="44" ht="15.0" customHeight="1">
      <c r="A44" s="65" t="s">
        <v>146</v>
      </c>
      <c r="B44" s="65" t="s">
        <v>451</v>
      </c>
      <c r="C44" s="65" t="s">
        <v>69</v>
      </c>
      <c r="D44" s="65" t="s">
        <v>264</v>
      </c>
      <c r="E44" s="65">
        <v>59.0</v>
      </c>
      <c r="F44" s="218">
        <v>34.41</v>
      </c>
      <c r="G44" s="219">
        <v>45175.0</v>
      </c>
      <c r="H44" s="67" t="s">
        <v>278</v>
      </c>
      <c r="I44" s="218">
        <f t="shared" si="1"/>
        <v>-2030.19</v>
      </c>
    </row>
    <row r="45" ht="15.0" customHeight="1">
      <c r="A45" s="65" t="s">
        <v>147</v>
      </c>
      <c r="B45" s="65" t="s">
        <v>452</v>
      </c>
      <c r="C45" s="65" t="s">
        <v>69</v>
      </c>
      <c r="D45" s="65" t="s">
        <v>264</v>
      </c>
      <c r="E45" s="65">
        <v>77.0</v>
      </c>
      <c r="F45" s="218">
        <v>26.2</v>
      </c>
      <c r="G45" s="219">
        <v>45175.0</v>
      </c>
      <c r="H45" s="67" t="s">
        <v>278</v>
      </c>
      <c r="I45" s="218">
        <f t="shared" si="1"/>
        <v>-2017.4</v>
      </c>
    </row>
    <row r="46" ht="15.0" customHeight="1">
      <c r="A46" s="65" t="s">
        <v>148</v>
      </c>
      <c r="B46" s="65" t="s">
        <v>443</v>
      </c>
      <c r="C46" s="65" t="s">
        <v>69</v>
      </c>
      <c r="D46" s="65" t="s">
        <v>264</v>
      </c>
      <c r="E46" s="65">
        <v>40.0</v>
      </c>
      <c r="F46" s="218">
        <v>50.9</v>
      </c>
      <c r="G46" s="219">
        <v>45175.0</v>
      </c>
      <c r="H46" s="67" t="s">
        <v>278</v>
      </c>
      <c r="I46" s="218">
        <f t="shared" si="1"/>
        <v>-2036</v>
      </c>
    </row>
    <row r="47" ht="15.0" customHeight="1">
      <c r="A47" s="65" t="s">
        <v>97</v>
      </c>
      <c r="B47" s="65" t="s">
        <v>453</v>
      </c>
      <c r="C47" s="65" t="s">
        <v>69</v>
      </c>
      <c r="D47" s="65" t="s">
        <v>264</v>
      </c>
      <c r="E47" s="65">
        <v>22.0</v>
      </c>
      <c r="F47" s="218">
        <v>93.67</v>
      </c>
      <c r="G47" s="219">
        <v>45175.0</v>
      </c>
      <c r="H47" s="67" t="s">
        <v>278</v>
      </c>
      <c r="I47" s="218">
        <f t="shared" si="1"/>
        <v>-2060.74</v>
      </c>
    </row>
    <row r="48" ht="15.0" customHeight="1">
      <c r="A48" s="65" t="s">
        <v>149</v>
      </c>
      <c r="B48" s="65" t="s">
        <v>446</v>
      </c>
      <c r="C48" s="65" t="s">
        <v>69</v>
      </c>
      <c r="D48" s="65" t="s">
        <v>264</v>
      </c>
      <c r="E48" s="65">
        <v>62.0</v>
      </c>
      <c r="F48" s="218">
        <v>32.31</v>
      </c>
      <c r="G48" s="219">
        <v>45175.0</v>
      </c>
      <c r="H48" s="67" t="s">
        <v>278</v>
      </c>
      <c r="I48" s="218">
        <f t="shared" si="1"/>
        <v>-2003.22</v>
      </c>
    </row>
    <row r="49" ht="15.0" customHeight="1">
      <c r="A49" s="65" t="s">
        <v>150</v>
      </c>
      <c r="B49" s="65" t="s">
        <v>369</v>
      </c>
      <c r="C49" s="65" t="s">
        <v>69</v>
      </c>
      <c r="D49" s="65" t="s">
        <v>264</v>
      </c>
      <c r="E49" s="65">
        <v>101.0</v>
      </c>
      <c r="F49" s="218">
        <v>19.94</v>
      </c>
      <c r="G49" s="219">
        <v>45175.0</v>
      </c>
      <c r="H49" s="67" t="s">
        <v>278</v>
      </c>
      <c r="I49" s="218">
        <f t="shared" si="1"/>
        <v>-2013.94</v>
      </c>
    </row>
    <row r="50" ht="15.75" customHeight="1">
      <c r="A50" s="65" t="s">
        <v>151</v>
      </c>
      <c r="B50" s="65" t="s">
        <v>454</v>
      </c>
      <c r="C50" s="65" t="s">
        <v>69</v>
      </c>
      <c r="D50" s="65" t="s">
        <v>264</v>
      </c>
      <c r="E50" s="65">
        <v>19.0</v>
      </c>
      <c r="F50" s="218">
        <v>107.53</v>
      </c>
      <c r="G50" s="219">
        <v>45175.0</v>
      </c>
      <c r="H50" s="67" t="s">
        <v>278</v>
      </c>
      <c r="I50" s="218">
        <f t="shared" si="1"/>
        <v>-2043.07</v>
      </c>
    </row>
    <row r="51" ht="15.75" customHeight="1">
      <c r="A51" s="65" t="s">
        <v>136</v>
      </c>
      <c r="B51" s="65" t="s">
        <v>455</v>
      </c>
      <c r="C51" s="65" t="s">
        <v>69</v>
      </c>
      <c r="D51" s="65" t="s">
        <v>264</v>
      </c>
      <c r="E51" s="65">
        <v>17.0</v>
      </c>
      <c r="F51" s="218">
        <v>241.32</v>
      </c>
      <c r="G51" s="219">
        <v>45175.0</v>
      </c>
      <c r="H51" s="67" t="s">
        <v>278</v>
      </c>
      <c r="I51" s="218">
        <f t="shared" si="1"/>
        <v>-4102.44</v>
      </c>
    </row>
    <row r="52" ht="15.75" customHeight="1">
      <c r="A52" s="65" t="s">
        <v>138</v>
      </c>
      <c r="B52" s="65" t="s">
        <v>301</v>
      </c>
      <c r="C52" s="65" t="s">
        <v>69</v>
      </c>
      <c r="D52" s="65" t="s">
        <v>264</v>
      </c>
      <c r="E52" s="65">
        <v>27.0</v>
      </c>
      <c r="F52" s="218">
        <v>147.66</v>
      </c>
      <c r="G52" s="219">
        <v>45175.0</v>
      </c>
      <c r="H52" s="67" t="s">
        <v>278</v>
      </c>
      <c r="I52" s="218">
        <f t="shared" si="1"/>
        <v>-3986.82</v>
      </c>
    </row>
    <row r="53" ht="15.75" customHeight="1">
      <c r="A53" s="65" t="s">
        <v>139</v>
      </c>
      <c r="B53" s="65" t="s">
        <v>456</v>
      </c>
      <c r="C53" s="65" t="s">
        <v>69</v>
      </c>
      <c r="D53" s="65" t="s">
        <v>264</v>
      </c>
      <c r="E53" s="65">
        <v>165.0</v>
      </c>
      <c r="F53" s="218">
        <v>24.52</v>
      </c>
      <c r="G53" s="219">
        <v>45175.0</v>
      </c>
      <c r="H53" s="67" t="s">
        <v>278</v>
      </c>
      <c r="I53" s="218">
        <f t="shared" si="1"/>
        <v>-4045.8</v>
      </c>
    </row>
    <row r="54" ht="15.75" customHeight="1">
      <c r="A54" s="65" t="s">
        <v>140</v>
      </c>
      <c r="B54" s="65" t="s">
        <v>457</v>
      </c>
      <c r="C54" s="65" t="s">
        <v>69</v>
      </c>
      <c r="D54" s="65" t="s">
        <v>264</v>
      </c>
      <c r="E54" s="65">
        <v>50.0</v>
      </c>
      <c r="F54" s="218">
        <v>81.0</v>
      </c>
      <c r="G54" s="219">
        <v>45175.0</v>
      </c>
      <c r="H54" s="67" t="s">
        <v>278</v>
      </c>
      <c r="I54" s="218">
        <f t="shared" si="1"/>
        <v>-4050</v>
      </c>
    </row>
    <row r="55" ht="15.75" customHeight="1">
      <c r="A55" s="65" t="s">
        <v>141</v>
      </c>
      <c r="B55" s="65" t="s">
        <v>458</v>
      </c>
      <c r="C55" s="65" t="s">
        <v>69</v>
      </c>
      <c r="D55" s="65" t="s">
        <v>264</v>
      </c>
      <c r="E55" s="65">
        <v>106.0</v>
      </c>
      <c r="F55" s="218">
        <v>37.88</v>
      </c>
      <c r="G55" s="219">
        <v>45175.0</v>
      </c>
      <c r="H55" s="67" t="s">
        <v>278</v>
      </c>
      <c r="I55" s="218">
        <f t="shared" si="1"/>
        <v>-4015.28</v>
      </c>
    </row>
    <row r="56" ht="15.75" customHeight="1">
      <c r="A56" s="23" t="s">
        <v>459</v>
      </c>
      <c r="B56" s="23" t="s">
        <v>460</v>
      </c>
      <c r="C56" s="23" t="s">
        <v>83</v>
      </c>
      <c r="D56" s="23" t="s">
        <v>253</v>
      </c>
      <c r="E56" s="23">
        <v>-193.0</v>
      </c>
      <c r="F56" s="71">
        <v>83.41</v>
      </c>
      <c r="G56" s="50">
        <v>45177.0</v>
      </c>
      <c r="H56" s="19">
        <v>0.0716</v>
      </c>
      <c r="I56" s="71">
        <f t="shared" si="1"/>
        <v>16098.13</v>
      </c>
      <c r="J56" s="23">
        <v>4.0</v>
      </c>
    </row>
    <row r="57" ht="15.75" customHeight="1">
      <c r="A57" s="23" t="s">
        <v>28</v>
      </c>
      <c r="B57" s="23" t="s">
        <v>461</v>
      </c>
      <c r="C57" s="23" t="s">
        <v>17</v>
      </c>
      <c r="D57" s="23" t="s">
        <v>264</v>
      </c>
      <c r="E57" s="23">
        <v>83.0</v>
      </c>
      <c r="F57" s="71">
        <v>972.78</v>
      </c>
      <c r="G57" s="50">
        <v>45177.0</v>
      </c>
      <c r="H57" s="19" t="s">
        <v>278</v>
      </c>
      <c r="I57" s="71">
        <f t="shared" si="1"/>
        <v>-80740.74</v>
      </c>
      <c r="J57" s="23">
        <v>5.0</v>
      </c>
    </row>
    <row r="58" ht="15.75" customHeight="1">
      <c r="A58" s="65" t="s">
        <v>82</v>
      </c>
      <c r="B58" s="65" t="s">
        <v>209</v>
      </c>
      <c r="C58" s="65" t="s">
        <v>83</v>
      </c>
      <c r="D58" s="65" t="s">
        <v>264</v>
      </c>
      <c r="E58" s="65">
        <v>152.0</v>
      </c>
      <c r="F58" s="218">
        <v>105.7556</v>
      </c>
      <c r="G58" s="219">
        <v>45181.0</v>
      </c>
      <c r="H58" s="67" t="s">
        <v>278</v>
      </c>
      <c r="I58" s="218">
        <f t="shared" si="1"/>
        <v>-16074.8512</v>
      </c>
    </row>
    <row r="59" ht="15.75" customHeight="1">
      <c r="A59" s="23" t="s">
        <v>462</v>
      </c>
      <c r="B59" s="23" t="s">
        <v>463</v>
      </c>
      <c r="C59" s="23" t="s">
        <v>72</v>
      </c>
      <c r="D59" s="23" t="s">
        <v>253</v>
      </c>
      <c r="E59" s="23">
        <v>-91.0</v>
      </c>
      <c r="F59" s="71">
        <v>306.02</v>
      </c>
      <c r="G59" s="50">
        <v>45191.0</v>
      </c>
      <c r="H59" s="19">
        <v>3.9832274873799056</v>
      </c>
      <c r="I59" s="71">
        <f t="shared" si="1"/>
        <v>27847.82</v>
      </c>
      <c r="J59" s="23">
        <v>6.0</v>
      </c>
    </row>
    <row r="60" ht="15.75" customHeight="1">
      <c r="A60" s="23" t="s">
        <v>424</v>
      </c>
      <c r="B60" s="23" t="s">
        <v>425</v>
      </c>
      <c r="C60" s="23" t="s">
        <v>89</v>
      </c>
      <c r="D60" s="23" t="s">
        <v>253</v>
      </c>
      <c r="E60" s="23">
        <v>-1632.0</v>
      </c>
      <c r="F60" s="71">
        <v>11.1207</v>
      </c>
      <c r="G60" s="50">
        <v>45191.0</v>
      </c>
      <c r="H60" s="19">
        <v>-0.2674110671936759</v>
      </c>
      <c r="I60" s="71">
        <f t="shared" si="1"/>
        <v>18148.9824</v>
      </c>
      <c r="J60" s="23">
        <v>7.0</v>
      </c>
    </row>
    <row r="61" ht="15.75" customHeight="1">
      <c r="A61" s="23" t="s">
        <v>464</v>
      </c>
      <c r="B61" s="23" t="s">
        <v>465</v>
      </c>
      <c r="C61" s="23" t="s">
        <v>81</v>
      </c>
      <c r="D61" s="23" t="s">
        <v>253</v>
      </c>
      <c r="E61" s="23">
        <v>-2945.0</v>
      </c>
      <c r="F61" s="71">
        <v>7.1658</v>
      </c>
      <c r="G61" s="50">
        <v>45191.0</v>
      </c>
      <c r="H61" s="19">
        <v>-0.2168524590163935</v>
      </c>
      <c r="I61" s="71">
        <f t="shared" si="1"/>
        <v>21103.281</v>
      </c>
      <c r="J61" s="23">
        <v>8.0</v>
      </c>
    </row>
    <row r="62" ht="15.75" customHeight="1">
      <c r="A62" s="23" t="s">
        <v>426</v>
      </c>
      <c r="B62" s="23" t="s">
        <v>427</v>
      </c>
      <c r="C62" s="23" t="s">
        <v>91</v>
      </c>
      <c r="D62" s="23" t="s">
        <v>253</v>
      </c>
      <c r="E62" s="23">
        <v>-100.0</v>
      </c>
      <c r="F62" s="71">
        <v>133.38</v>
      </c>
      <c r="G62" s="50">
        <v>45191.0</v>
      </c>
      <c r="H62" s="19">
        <v>-0.09234433480775772</v>
      </c>
      <c r="I62" s="71">
        <f t="shared" si="1"/>
        <v>13338</v>
      </c>
      <c r="J62" s="23">
        <v>9.0</v>
      </c>
    </row>
    <row r="63" ht="15.75" customHeight="1">
      <c r="A63" s="23" t="s">
        <v>90</v>
      </c>
      <c r="B63" s="23" t="s">
        <v>230</v>
      </c>
      <c r="C63" s="23" t="s">
        <v>91</v>
      </c>
      <c r="D63" s="23" t="s">
        <v>264</v>
      </c>
      <c r="E63" s="23">
        <v>210.0</v>
      </c>
      <c r="F63" s="71">
        <v>63.48</v>
      </c>
      <c r="G63" s="50">
        <v>45191.0</v>
      </c>
      <c r="H63" s="19" t="s">
        <v>278</v>
      </c>
      <c r="I63" s="71">
        <f t="shared" si="1"/>
        <v>-13330.8</v>
      </c>
    </row>
    <row r="64" ht="15.75" customHeight="1">
      <c r="A64" s="23" t="s">
        <v>80</v>
      </c>
      <c r="B64" s="23" t="s">
        <v>200</v>
      </c>
      <c r="C64" s="23" t="s">
        <v>81</v>
      </c>
      <c r="D64" s="23" t="s">
        <v>260</v>
      </c>
      <c r="E64" s="23">
        <v>162.0</v>
      </c>
      <c r="F64" s="71">
        <v>130.33</v>
      </c>
      <c r="G64" s="50">
        <v>45191.0</v>
      </c>
      <c r="H64" s="19" t="s">
        <v>278</v>
      </c>
      <c r="I64" s="71">
        <f t="shared" si="1"/>
        <v>-21113.46</v>
      </c>
    </row>
    <row r="65" ht="15.75" customHeight="1">
      <c r="A65" s="23" t="s">
        <v>88</v>
      </c>
      <c r="B65" s="23" t="s">
        <v>225</v>
      </c>
      <c r="C65" s="23" t="s">
        <v>89</v>
      </c>
      <c r="D65" s="23" t="s">
        <v>264</v>
      </c>
      <c r="E65" s="23">
        <v>276.0</v>
      </c>
      <c r="F65" s="71">
        <v>65.78</v>
      </c>
      <c r="G65" s="50">
        <v>45191.0</v>
      </c>
      <c r="H65" s="19" t="s">
        <v>278</v>
      </c>
      <c r="I65" s="71">
        <f t="shared" si="1"/>
        <v>-18155.28</v>
      </c>
    </row>
    <row r="66" ht="15.75" customHeight="1">
      <c r="A66" s="23" t="s">
        <v>71</v>
      </c>
      <c r="B66" s="23" t="s">
        <v>161</v>
      </c>
      <c r="C66" s="23" t="s">
        <v>74</v>
      </c>
      <c r="D66" s="23" t="s">
        <v>264</v>
      </c>
      <c r="E66" s="23">
        <v>173.0</v>
      </c>
      <c r="F66" s="71">
        <v>160.97</v>
      </c>
      <c r="G66" s="50">
        <v>45191.0</v>
      </c>
      <c r="H66" s="19" t="s">
        <v>278</v>
      </c>
      <c r="I66" s="71">
        <f t="shared" si="1"/>
        <v>-27847.81</v>
      </c>
    </row>
    <row r="67" ht="15.75" customHeight="1">
      <c r="A67" s="65" t="s">
        <v>422</v>
      </c>
      <c r="B67" s="65" t="s">
        <v>466</v>
      </c>
      <c r="C67" s="65" t="s">
        <v>85</v>
      </c>
      <c r="D67" s="65" t="s">
        <v>253</v>
      </c>
      <c r="E67" s="65">
        <v>-237.0</v>
      </c>
      <c r="F67" s="218">
        <v>59.7</v>
      </c>
      <c r="G67" s="219">
        <v>45198.0</v>
      </c>
      <c r="H67" s="67">
        <v>0.3054887382462279</v>
      </c>
      <c r="I67" s="218">
        <f t="shared" si="1"/>
        <v>14148.9</v>
      </c>
      <c r="J67" s="23">
        <v>10.0</v>
      </c>
    </row>
    <row r="68" ht="15.75" customHeight="1">
      <c r="A68" s="65" t="s">
        <v>82</v>
      </c>
      <c r="B68" s="65" t="s">
        <v>209</v>
      </c>
      <c r="C68" s="65" t="s">
        <v>83</v>
      </c>
      <c r="D68" s="65" t="s">
        <v>253</v>
      </c>
      <c r="E68" s="65">
        <v>-152.0</v>
      </c>
      <c r="F68" s="218">
        <v>101.17</v>
      </c>
      <c r="G68" s="219">
        <v>45198.0</v>
      </c>
      <c r="H68" s="67">
        <v>-0.043400151285930444</v>
      </c>
      <c r="I68" s="218">
        <f t="shared" si="1"/>
        <v>15377.84</v>
      </c>
    </row>
    <row r="69" ht="15.75" customHeight="1">
      <c r="A69" s="65" t="s">
        <v>84</v>
      </c>
      <c r="B69" s="65" t="s">
        <v>212</v>
      </c>
      <c r="C69" s="65" t="s">
        <v>85</v>
      </c>
      <c r="D69" s="65" t="s">
        <v>264</v>
      </c>
      <c r="E69" s="65">
        <v>416.0</v>
      </c>
      <c r="F69" s="218">
        <v>33.97</v>
      </c>
      <c r="G69" s="219">
        <v>45198.0</v>
      </c>
      <c r="H69" s="67" t="s">
        <v>278</v>
      </c>
      <c r="I69" s="218">
        <f t="shared" si="1"/>
        <v>-14131.52</v>
      </c>
    </row>
    <row r="70" ht="15.75" customHeight="1">
      <c r="A70" s="65" t="s">
        <v>329</v>
      </c>
      <c r="B70" s="65" t="s">
        <v>330</v>
      </c>
      <c r="C70" s="65" t="s">
        <v>83</v>
      </c>
      <c r="D70" s="65" t="s">
        <v>264</v>
      </c>
      <c r="E70" s="65">
        <v>103.0</v>
      </c>
      <c r="F70" s="218">
        <v>149.02</v>
      </c>
      <c r="G70" s="219">
        <v>45198.0</v>
      </c>
      <c r="H70" s="67" t="s">
        <v>278</v>
      </c>
      <c r="I70" s="218">
        <f t="shared" si="1"/>
        <v>-15349.06</v>
      </c>
      <c r="J70" s="23">
        <v>11.0</v>
      </c>
    </row>
    <row r="71" ht="15.75" customHeight="1">
      <c r="A71" s="23" t="s">
        <v>73</v>
      </c>
      <c r="B71" s="23" t="s">
        <v>168</v>
      </c>
      <c r="C71" s="23" t="s">
        <v>74</v>
      </c>
      <c r="D71" s="23" t="s">
        <v>261</v>
      </c>
      <c r="E71" s="23">
        <v>-443.0</v>
      </c>
      <c r="F71" s="71">
        <v>66.435</v>
      </c>
      <c r="G71" s="50">
        <v>45212.0</v>
      </c>
      <c r="H71" s="19">
        <f>IF(OR(D71="Sell to Trim", D71="Sell to Close"),F71/VLOOKUP(A71, 'Sector Holdings'!$B$3:$M$121, 11, FALSE) - 1, "N/A")</f>
        <v>-0.08968210469</v>
      </c>
      <c r="I71" s="71">
        <f t="shared" si="1"/>
        <v>29430.705</v>
      </c>
    </row>
    <row r="72" ht="15.75" customHeight="1">
      <c r="A72" s="23" t="s">
        <v>78</v>
      </c>
      <c r="B72" s="23" t="s">
        <v>191</v>
      </c>
      <c r="C72" s="23" t="s">
        <v>79</v>
      </c>
      <c r="D72" s="23" t="s">
        <v>253</v>
      </c>
      <c r="E72" s="23">
        <v>-912.0</v>
      </c>
      <c r="F72" s="71">
        <v>33.252</v>
      </c>
      <c r="G72" s="50">
        <v>45212.0</v>
      </c>
      <c r="H72" s="19">
        <f>IF(OR(D72="Sell to Trim", D72="Sell to Close"),F72/VLOOKUP(A72, 'Sector Holdings'!$B$3:$M$121, 11, FALSE) - 1, "N/A")</f>
        <v>-0.1405531145</v>
      </c>
      <c r="I72" s="71">
        <f t="shared" si="1"/>
        <v>30325.824</v>
      </c>
    </row>
    <row r="73" ht="15.75" customHeight="1">
      <c r="A73" s="23" t="s">
        <v>163</v>
      </c>
      <c r="B73" s="23" t="s">
        <v>278</v>
      </c>
      <c r="C73" s="23" t="s">
        <v>74</v>
      </c>
      <c r="D73" s="23" t="s">
        <v>264</v>
      </c>
      <c r="E73" s="23">
        <v>363.0</v>
      </c>
      <c r="F73" s="71">
        <v>81.03</v>
      </c>
      <c r="G73" s="50">
        <v>45212.0</v>
      </c>
      <c r="H73" s="19" t="s">
        <v>278</v>
      </c>
      <c r="I73" s="71">
        <f t="shared" si="1"/>
        <v>-29413.89</v>
      </c>
      <c r="J73" s="23">
        <v>12.0</v>
      </c>
    </row>
    <row r="74" ht="15.75" customHeight="1">
      <c r="A74" s="23" t="s">
        <v>181</v>
      </c>
      <c r="B74" s="23" t="s">
        <v>278</v>
      </c>
      <c r="C74" s="23" t="s">
        <v>79</v>
      </c>
      <c r="D74" s="23" t="s">
        <v>264</v>
      </c>
      <c r="E74" s="23">
        <v>206.0</v>
      </c>
      <c r="F74" s="71">
        <v>147.16</v>
      </c>
      <c r="G74" s="50">
        <v>45212.0</v>
      </c>
      <c r="H74" s="19" t="s">
        <v>278</v>
      </c>
      <c r="I74" s="71">
        <f t="shared" si="1"/>
        <v>-30314.96</v>
      </c>
      <c r="J74" s="23">
        <v>13.0</v>
      </c>
    </row>
    <row r="75" ht="15.75" customHeight="1">
      <c r="A75" s="23" t="s">
        <v>275</v>
      </c>
      <c r="B75" s="23" t="s">
        <v>278</v>
      </c>
      <c r="C75" s="23" t="s">
        <v>17</v>
      </c>
      <c r="D75" s="23" t="s">
        <v>264</v>
      </c>
      <c r="E75" s="23">
        <v>30.0</v>
      </c>
      <c r="F75" s="71">
        <v>963.91</v>
      </c>
      <c r="G75" s="50">
        <v>45212.0</v>
      </c>
      <c r="H75" s="19" t="s">
        <v>278</v>
      </c>
      <c r="I75" s="71">
        <f t="shared" si="1"/>
        <v>-28917.3</v>
      </c>
      <c r="J75" s="23">
        <v>14.0</v>
      </c>
    </row>
    <row r="76" ht="15.75" customHeight="1">
      <c r="A76" s="220" t="s">
        <v>136</v>
      </c>
      <c r="B76" s="65" t="s">
        <v>455</v>
      </c>
      <c r="C76" s="65" t="s">
        <v>69</v>
      </c>
      <c r="D76" s="65" t="s">
        <v>253</v>
      </c>
      <c r="E76" s="65">
        <v>-17.0</v>
      </c>
      <c r="F76" s="218">
        <v>255.63</v>
      </c>
      <c r="G76" s="219">
        <v>45218.0</v>
      </c>
      <c r="H76" s="67">
        <v>0.05929885629040288</v>
      </c>
      <c r="I76" s="218">
        <f t="shared" si="1"/>
        <v>4345.71</v>
      </c>
      <c r="J76" s="23">
        <v>15.0</v>
      </c>
    </row>
    <row r="77" ht="15.75" customHeight="1">
      <c r="A77" s="220" t="s">
        <v>138</v>
      </c>
      <c r="B77" s="65" t="s">
        <v>301</v>
      </c>
      <c r="C77" s="65" t="s">
        <v>69</v>
      </c>
      <c r="D77" s="65" t="s">
        <v>253</v>
      </c>
      <c r="E77" s="65">
        <v>-27.0</v>
      </c>
      <c r="F77" s="218">
        <v>152.97</v>
      </c>
      <c r="G77" s="219">
        <v>45218.0</v>
      </c>
      <c r="H77" s="67">
        <v>0.035960991466883474</v>
      </c>
      <c r="I77" s="218">
        <f t="shared" si="1"/>
        <v>4130.19</v>
      </c>
    </row>
    <row r="78" ht="15.75" customHeight="1">
      <c r="A78" s="220" t="s">
        <v>139</v>
      </c>
      <c r="B78" s="65" t="s">
        <v>456</v>
      </c>
      <c r="C78" s="65" t="s">
        <v>69</v>
      </c>
      <c r="D78" s="65" t="s">
        <v>253</v>
      </c>
      <c r="E78" s="65">
        <v>-165.0</v>
      </c>
      <c r="F78" s="218">
        <v>20.4</v>
      </c>
      <c r="G78" s="219">
        <v>45218.0</v>
      </c>
      <c r="H78" s="67">
        <v>-0.16802610114192496</v>
      </c>
      <c r="I78" s="218">
        <f t="shared" si="1"/>
        <v>3366</v>
      </c>
    </row>
    <row r="79" ht="15.75" customHeight="1">
      <c r="A79" s="220" t="s">
        <v>140</v>
      </c>
      <c r="B79" s="65" t="s">
        <v>457</v>
      </c>
      <c r="C79" s="65" t="s">
        <v>69</v>
      </c>
      <c r="D79" s="65" t="s">
        <v>253</v>
      </c>
      <c r="E79" s="65">
        <v>-50.0</v>
      </c>
      <c r="F79" s="218">
        <v>85.54</v>
      </c>
      <c r="G79" s="219">
        <v>45218.0</v>
      </c>
      <c r="H79" s="67">
        <v>0.056049382716049534</v>
      </c>
      <c r="I79" s="218">
        <f t="shared" si="1"/>
        <v>4277</v>
      </c>
    </row>
    <row r="80" ht="15.75" customHeight="1">
      <c r="A80" s="220" t="s">
        <v>141</v>
      </c>
      <c r="B80" s="65" t="s">
        <v>458</v>
      </c>
      <c r="C80" s="65" t="s">
        <v>69</v>
      </c>
      <c r="D80" s="65" t="s">
        <v>253</v>
      </c>
      <c r="E80" s="65">
        <v>-106.0</v>
      </c>
      <c r="F80" s="218">
        <v>41.15</v>
      </c>
      <c r="G80" s="219">
        <v>45218.0</v>
      </c>
      <c r="H80" s="67">
        <v>0.08632523759239685</v>
      </c>
      <c r="I80" s="218">
        <f t="shared" si="1"/>
        <v>4361.9</v>
      </c>
    </row>
    <row r="81" ht="15.75" customHeight="1">
      <c r="A81" s="65" t="s">
        <v>142</v>
      </c>
      <c r="B81" s="65" t="s">
        <v>449</v>
      </c>
      <c r="C81" s="65" t="s">
        <v>69</v>
      </c>
      <c r="D81" s="65" t="s">
        <v>253</v>
      </c>
      <c r="E81" s="65">
        <v>-29.0</v>
      </c>
      <c r="F81" s="218">
        <v>69.74</v>
      </c>
      <c r="G81" s="219">
        <v>45218.0</v>
      </c>
      <c r="H81" s="67">
        <v>0.005261261261261252</v>
      </c>
      <c r="I81" s="218">
        <f t="shared" si="1"/>
        <v>2022.46</v>
      </c>
    </row>
    <row r="82" ht="15.75" customHeight="1">
      <c r="A82" s="220" t="s">
        <v>144</v>
      </c>
      <c r="B82" s="65" t="s">
        <v>450</v>
      </c>
      <c r="C82" s="65" t="s">
        <v>69</v>
      </c>
      <c r="D82" s="65" t="s">
        <v>253</v>
      </c>
      <c r="E82" s="65">
        <v>-26.0</v>
      </c>
      <c r="F82" s="218">
        <v>73.74</v>
      </c>
      <c r="G82" s="219">
        <v>45218.0</v>
      </c>
      <c r="H82" s="67">
        <v>-0.04654771140418945</v>
      </c>
      <c r="I82" s="218">
        <f t="shared" si="1"/>
        <v>1917.24</v>
      </c>
    </row>
    <row r="83" ht="15.75" customHeight="1">
      <c r="A83" s="220" t="s">
        <v>145</v>
      </c>
      <c r="B83" s="65" t="s">
        <v>442</v>
      </c>
      <c r="C83" s="65" t="s">
        <v>69</v>
      </c>
      <c r="D83" s="65" t="s">
        <v>253</v>
      </c>
      <c r="E83" s="65">
        <v>-126.0</v>
      </c>
      <c r="F83" s="218">
        <v>15.79</v>
      </c>
      <c r="G83" s="219">
        <v>45218.0</v>
      </c>
      <c r="H83" s="67">
        <v>-0.013125000000000053</v>
      </c>
      <c r="I83" s="218">
        <f t="shared" si="1"/>
        <v>1989.54</v>
      </c>
    </row>
    <row r="84" ht="15.75" customHeight="1">
      <c r="A84" s="220" t="s">
        <v>146</v>
      </c>
      <c r="B84" s="65" t="s">
        <v>451</v>
      </c>
      <c r="C84" s="65" t="s">
        <v>69</v>
      </c>
      <c r="D84" s="65" t="s">
        <v>253</v>
      </c>
      <c r="E84" s="65">
        <v>-59.0</v>
      </c>
      <c r="F84" s="218">
        <v>31.12</v>
      </c>
      <c r="G84" s="219">
        <v>45218.0</v>
      </c>
      <c r="H84" s="67">
        <v>-0.09561174077303103</v>
      </c>
      <c r="I84" s="218">
        <f t="shared" si="1"/>
        <v>1836.08</v>
      </c>
    </row>
    <row r="85" ht="15.75" customHeight="1">
      <c r="A85" s="220" t="s">
        <v>147</v>
      </c>
      <c r="B85" s="65" t="s">
        <v>452</v>
      </c>
      <c r="C85" s="65" t="s">
        <v>69</v>
      </c>
      <c r="D85" s="65" t="s">
        <v>253</v>
      </c>
      <c r="E85" s="65">
        <v>-77.0</v>
      </c>
      <c r="F85" s="218">
        <v>25.83</v>
      </c>
      <c r="G85" s="219">
        <v>45218.0</v>
      </c>
      <c r="H85" s="67">
        <v>-0.014122137404580237</v>
      </c>
      <c r="I85" s="218">
        <f t="shared" si="1"/>
        <v>1988.91</v>
      </c>
    </row>
    <row r="86" ht="15.75" customHeight="1">
      <c r="A86" s="220" t="s">
        <v>148</v>
      </c>
      <c r="B86" s="65" t="s">
        <v>443</v>
      </c>
      <c r="C86" s="65" t="s">
        <v>69</v>
      </c>
      <c r="D86" s="65" t="s">
        <v>253</v>
      </c>
      <c r="E86" s="65">
        <v>-40.0</v>
      </c>
      <c r="F86" s="218">
        <v>48.97</v>
      </c>
      <c r="G86" s="219">
        <v>45218.0</v>
      </c>
      <c r="H86" s="67">
        <v>-0.03791748526522598</v>
      </c>
      <c r="I86" s="218">
        <f t="shared" si="1"/>
        <v>1958.8</v>
      </c>
    </row>
    <row r="87" ht="15.75" customHeight="1">
      <c r="A87" s="220" t="s">
        <v>97</v>
      </c>
      <c r="B87" s="65" t="s">
        <v>162</v>
      </c>
      <c r="C87" s="65" t="s">
        <v>69</v>
      </c>
      <c r="D87" s="65" t="s">
        <v>253</v>
      </c>
      <c r="E87" s="65">
        <v>-22.0</v>
      </c>
      <c r="F87" s="218">
        <v>90.69</v>
      </c>
      <c r="G87" s="219">
        <v>45218.0</v>
      </c>
      <c r="H87" s="67">
        <v>-0.0314</v>
      </c>
      <c r="I87" s="218">
        <f t="shared" si="1"/>
        <v>1995.18</v>
      </c>
    </row>
    <row r="88" ht="15.75" customHeight="1">
      <c r="A88" s="220" t="s">
        <v>149</v>
      </c>
      <c r="B88" s="65" t="s">
        <v>446</v>
      </c>
      <c r="C88" s="65" t="s">
        <v>69</v>
      </c>
      <c r="D88" s="65" t="s">
        <v>253</v>
      </c>
      <c r="E88" s="65">
        <v>-62.0</v>
      </c>
      <c r="F88" s="218">
        <v>29.32</v>
      </c>
      <c r="G88" s="219">
        <v>45218.0</v>
      </c>
      <c r="H88" s="67">
        <v>-0.0925410089755494</v>
      </c>
      <c r="I88" s="218">
        <f t="shared" si="1"/>
        <v>1817.84</v>
      </c>
    </row>
    <row r="89" ht="15.75" customHeight="1">
      <c r="A89" s="220" t="s">
        <v>150</v>
      </c>
      <c r="B89" s="65" t="s">
        <v>369</v>
      </c>
      <c r="C89" s="65" t="s">
        <v>69</v>
      </c>
      <c r="D89" s="65" t="s">
        <v>253</v>
      </c>
      <c r="E89" s="65">
        <v>-101.0</v>
      </c>
      <c r="F89" s="218">
        <v>16.01</v>
      </c>
      <c r="G89" s="219">
        <v>45218.0</v>
      </c>
      <c r="H89" s="67">
        <v>-0.1970912738214644</v>
      </c>
      <c r="I89" s="218">
        <f t="shared" si="1"/>
        <v>1617.01</v>
      </c>
    </row>
    <row r="90" ht="15.75" customHeight="1">
      <c r="A90" s="220" t="s">
        <v>151</v>
      </c>
      <c r="B90" s="65" t="s">
        <v>454</v>
      </c>
      <c r="C90" s="65" t="s">
        <v>69</v>
      </c>
      <c r="D90" s="65" t="s">
        <v>253</v>
      </c>
      <c r="E90" s="65">
        <v>-19.0</v>
      </c>
      <c r="F90" s="218">
        <v>80.96</v>
      </c>
      <c r="G90" s="219">
        <v>45218.0</v>
      </c>
      <c r="H90" s="67">
        <v>-0.24709383427880593</v>
      </c>
      <c r="I90" s="218">
        <f t="shared" si="1"/>
        <v>1538.24</v>
      </c>
    </row>
    <row r="91" ht="15.75" customHeight="1">
      <c r="A91" s="65" t="s">
        <v>467</v>
      </c>
      <c r="B91" s="65" t="s">
        <v>468</v>
      </c>
      <c r="C91" s="65" t="s">
        <v>69</v>
      </c>
      <c r="D91" s="65" t="s">
        <v>264</v>
      </c>
      <c r="E91" s="65">
        <v>13.0</v>
      </c>
      <c r="F91" s="66">
        <v>308.52</v>
      </c>
      <c r="G91" s="219">
        <v>45218.0</v>
      </c>
      <c r="H91" s="67" t="s">
        <v>278</v>
      </c>
      <c r="I91" s="218">
        <f t="shared" si="1"/>
        <v>-4010.76</v>
      </c>
      <c r="J91" s="23">
        <v>16.0</v>
      </c>
    </row>
    <row r="92" ht="15.75" customHeight="1">
      <c r="A92" s="65" t="s">
        <v>141</v>
      </c>
      <c r="B92" s="65" t="s">
        <v>458</v>
      </c>
      <c r="C92" s="65" t="s">
        <v>69</v>
      </c>
      <c r="D92" s="65" t="s">
        <v>264</v>
      </c>
      <c r="E92" s="65">
        <v>95.0</v>
      </c>
      <c r="F92" s="218">
        <v>40.99</v>
      </c>
      <c r="G92" s="219">
        <v>45218.0</v>
      </c>
      <c r="H92" s="67" t="s">
        <v>278</v>
      </c>
      <c r="I92" s="218">
        <f t="shared" si="1"/>
        <v>-3894.05</v>
      </c>
    </row>
    <row r="93" ht="15.75" customHeight="1">
      <c r="A93" s="65" t="s">
        <v>354</v>
      </c>
      <c r="B93" s="65" t="s">
        <v>355</v>
      </c>
      <c r="C93" s="65" t="s">
        <v>69</v>
      </c>
      <c r="D93" s="65" t="s">
        <v>264</v>
      </c>
      <c r="E93" s="65">
        <v>132.0</v>
      </c>
      <c r="F93" s="218">
        <v>29.54</v>
      </c>
      <c r="G93" s="219">
        <v>45218.0</v>
      </c>
      <c r="H93" s="67" t="s">
        <v>278</v>
      </c>
      <c r="I93" s="218">
        <f t="shared" si="1"/>
        <v>-3899.28</v>
      </c>
    </row>
    <row r="94" ht="15.75" customHeight="1">
      <c r="A94" s="65" t="s">
        <v>469</v>
      </c>
      <c r="B94" s="65" t="s">
        <v>470</v>
      </c>
      <c r="C94" s="65" t="s">
        <v>69</v>
      </c>
      <c r="D94" s="65" t="s">
        <v>264</v>
      </c>
      <c r="E94" s="65">
        <v>110.0</v>
      </c>
      <c r="F94" s="218">
        <v>35.52</v>
      </c>
      <c r="G94" s="219">
        <v>45218.0</v>
      </c>
      <c r="H94" s="67" t="s">
        <v>278</v>
      </c>
      <c r="I94" s="218">
        <f t="shared" si="1"/>
        <v>-3907.2</v>
      </c>
    </row>
    <row r="95" ht="15.75" customHeight="1">
      <c r="A95" s="65" t="s">
        <v>471</v>
      </c>
      <c r="B95" s="65" t="s">
        <v>472</v>
      </c>
      <c r="C95" s="65" t="s">
        <v>69</v>
      </c>
      <c r="D95" s="65" t="s">
        <v>264</v>
      </c>
      <c r="E95" s="65">
        <v>188.0</v>
      </c>
      <c r="F95" s="218">
        <v>20.66</v>
      </c>
      <c r="G95" s="219">
        <v>45218.0</v>
      </c>
      <c r="H95" s="67" t="s">
        <v>278</v>
      </c>
      <c r="I95" s="218">
        <f t="shared" si="1"/>
        <v>-3884.08</v>
      </c>
    </row>
    <row r="96" ht="15.75" customHeight="1">
      <c r="A96" s="65" t="s">
        <v>269</v>
      </c>
      <c r="B96" s="65" t="s">
        <v>413</v>
      </c>
      <c r="C96" s="65" t="s">
        <v>69</v>
      </c>
      <c r="D96" s="65" t="s">
        <v>264</v>
      </c>
      <c r="E96" s="65">
        <v>66.0</v>
      </c>
      <c r="F96" s="218">
        <v>29.38</v>
      </c>
      <c r="G96" s="219">
        <v>45218.0</v>
      </c>
      <c r="H96" s="67" t="s">
        <v>278</v>
      </c>
      <c r="I96" s="218">
        <f t="shared" si="1"/>
        <v>-1939.08</v>
      </c>
    </row>
    <row r="97" ht="15.75" customHeight="1">
      <c r="A97" s="65" t="s">
        <v>146</v>
      </c>
      <c r="B97" s="65" t="s">
        <v>451</v>
      </c>
      <c r="C97" s="65" t="s">
        <v>69</v>
      </c>
      <c r="D97" s="65" t="s">
        <v>264</v>
      </c>
      <c r="E97" s="65">
        <v>63.0</v>
      </c>
      <c r="F97" s="218">
        <v>31.13</v>
      </c>
      <c r="G97" s="219">
        <v>45218.0</v>
      </c>
      <c r="H97" s="67" t="s">
        <v>278</v>
      </c>
      <c r="I97" s="218">
        <f t="shared" si="1"/>
        <v>-1961.19</v>
      </c>
    </row>
    <row r="98" ht="15.75" customHeight="1">
      <c r="A98" s="65" t="s">
        <v>473</v>
      </c>
      <c r="B98" s="65" t="s">
        <v>474</v>
      </c>
      <c r="C98" s="65" t="s">
        <v>69</v>
      </c>
      <c r="D98" s="65" t="s">
        <v>264</v>
      </c>
      <c r="E98" s="65">
        <v>105.0</v>
      </c>
      <c r="F98" s="218">
        <v>18.57</v>
      </c>
      <c r="G98" s="219">
        <v>45218.0</v>
      </c>
      <c r="H98" s="67" t="s">
        <v>278</v>
      </c>
      <c r="I98" s="218">
        <f t="shared" si="1"/>
        <v>-1949.85</v>
      </c>
    </row>
    <row r="99" ht="15.75" customHeight="1">
      <c r="A99" s="65" t="s">
        <v>149</v>
      </c>
      <c r="B99" s="65" t="s">
        <v>446</v>
      </c>
      <c r="C99" s="65" t="s">
        <v>69</v>
      </c>
      <c r="D99" s="65" t="s">
        <v>264</v>
      </c>
      <c r="E99" s="65">
        <v>66.0</v>
      </c>
      <c r="F99" s="218">
        <v>29.44</v>
      </c>
      <c r="G99" s="219">
        <v>45218.0</v>
      </c>
      <c r="H99" s="67" t="s">
        <v>278</v>
      </c>
      <c r="I99" s="218">
        <f t="shared" si="1"/>
        <v>-1943.04</v>
      </c>
    </row>
    <row r="100" ht="15.75" customHeight="1">
      <c r="A100" s="65" t="s">
        <v>475</v>
      </c>
      <c r="B100" s="65" t="s">
        <v>476</v>
      </c>
      <c r="C100" s="65" t="s">
        <v>69</v>
      </c>
      <c r="D100" s="65" t="s">
        <v>264</v>
      </c>
      <c r="E100" s="65">
        <v>39.0</v>
      </c>
      <c r="F100" s="218">
        <v>49.89</v>
      </c>
      <c r="G100" s="219">
        <v>45218.0</v>
      </c>
      <c r="H100" s="67" t="s">
        <v>278</v>
      </c>
      <c r="I100" s="218">
        <f t="shared" si="1"/>
        <v>-1945.71</v>
      </c>
    </row>
    <row r="101" ht="15.75" customHeight="1">
      <c r="A101" s="65" t="s">
        <v>438</v>
      </c>
      <c r="B101" s="65" t="s">
        <v>477</v>
      </c>
      <c r="C101" s="65" t="s">
        <v>69</v>
      </c>
      <c r="D101" s="65" t="s">
        <v>264</v>
      </c>
      <c r="E101" s="65">
        <v>52.0</v>
      </c>
      <c r="F101" s="218">
        <v>38.0</v>
      </c>
      <c r="G101" s="219">
        <v>45218.0</v>
      </c>
      <c r="H101" s="67" t="s">
        <v>278</v>
      </c>
      <c r="I101" s="218">
        <f t="shared" si="1"/>
        <v>-1976</v>
      </c>
    </row>
    <row r="102" ht="15.75" customHeight="1">
      <c r="A102" s="65" t="s">
        <v>150</v>
      </c>
      <c r="B102" s="65" t="s">
        <v>369</v>
      </c>
      <c r="C102" s="65" t="s">
        <v>69</v>
      </c>
      <c r="D102" s="65" t="s">
        <v>264</v>
      </c>
      <c r="E102" s="65">
        <v>121.0</v>
      </c>
      <c r="F102" s="218">
        <v>16.07</v>
      </c>
      <c r="G102" s="219">
        <v>45218.0</v>
      </c>
      <c r="H102" s="67" t="s">
        <v>278</v>
      </c>
      <c r="I102" s="218">
        <f t="shared" si="1"/>
        <v>-1944.47</v>
      </c>
    </row>
    <row r="103" ht="15.75" customHeight="1">
      <c r="A103" s="65" t="s">
        <v>97</v>
      </c>
      <c r="B103" s="65" t="s">
        <v>162</v>
      </c>
      <c r="C103" s="65" t="s">
        <v>69</v>
      </c>
      <c r="D103" s="65" t="s">
        <v>264</v>
      </c>
      <c r="E103" s="65">
        <v>21.0</v>
      </c>
      <c r="F103" s="218">
        <v>90.63</v>
      </c>
      <c r="G103" s="219">
        <v>45218.0</v>
      </c>
      <c r="H103" s="67" t="s">
        <v>278</v>
      </c>
      <c r="I103" s="218">
        <f t="shared" si="1"/>
        <v>-1903.23</v>
      </c>
    </row>
    <row r="104" ht="15.75" customHeight="1">
      <c r="A104" s="65" t="s">
        <v>145</v>
      </c>
      <c r="B104" s="65" t="s">
        <v>442</v>
      </c>
      <c r="C104" s="65" t="s">
        <v>69</v>
      </c>
      <c r="D104" s="65" t="s">
        <v>264</v>
      </c>
      <c r="E104" s="65">
        <v>123.0</v>
      </c>
      <c r="F104" s="218">
        <v>15.76</v>
      </c>
      <c r="G104" s="219">
        <v>45218.0</v>
      </c>
      <c r="H104" s="67" t="s">
        <v>278</v>
      </c>
      <c r="I104" s="218">
        <f t="shared" si="1"/>
        <v>-1938.48</v>
      </c>
    </row>
    <row r="105" ht="15.75" customHeight="1">
      <c r="A105" s="65" t="s">
        <v>323</v>
      </c>
      <c r="B105" s="65" t="s">
        <v>324</v>
      </c>
      <c r="C105" s="65" t="s">
        <v>69</v>
      </c>
      <c r="D105" s="65" t="s">
        <v>264</v>
      </c>
      <c r="E105" s="65">
        <v>45.0</v>
      </c>
      <c r="F105" s="218">
        <v>42.63</v>
      </c>
      <c r="G105" s="219">
        <v>45218.0</v>
      </c>
      <c r="H105" s="67" t="s">
        <v>278</v>
      </c>
      <c r="I105" s="218">
        <f t="shared" si="1"/>
        <v>-1918.35</v>
      </c>
    </row>
    <row r="106" ht="15.75" customHeight="1">
      <c r="A106" s="23" t="s">
        <v>71</v>
      </c>
      <c r="B106" s="23" t="s">
        <v>161</v>
      </c>
      <c r="C106" s="23" t="s">
        <v>72</v>
      </c>
      <c r="D106" s="23" t="s">
        <v>253</v>
      </c>
      <c r="E106" s="23">
        <v>-173.0</v>
      </c>
      <c r="F106" s="71">
        <v>152.81</v>
      </c>
      <c r="G106" s="50">
        <v>45219.0</v>
      </c>
      <c r="H106" s="19">
        <v>-0.14987482614742698</v>
      </c>
      <c r="I106" s="71">
        <f t="shared" si="1"/>
        <v>26436.13</v>
      </c>
    </row>
    <row r="107" ht="15.75" customHeight="1">
      <c r="A107" s="23" t="s">
        <v>159</v>
      </c>
      <c r="B107" s="23" t="s">
        <v>160</v>
      </c>
      <c r="C107" s="23" t="s">
        <v>72</v>
      </c>
      <c r="D107" s="23" t="s">
        <v>264</v>
      </c>
      <c r="E107" s="23">
        <v>281.0</v>
      </c>
      <c r="F107" s="71">
        <v>93.93</v>
      </c>
      <c r="G107" s="50">
        <v>45219.0</v>
      </c>
      <c r="H107" s="19" t="s">
        <v>278</v>
      </c>
      <c r="I107" s="71">
        <f t="shared" si="1"/>
        <v>-26394.33</v>
      </c>
      <c r="J107" s="23">
        <v>17.0</v>
      </c>
    </row>
    <row r="108" ht="15.75" customHeight="1">
      <c r="A108" s="65" t="s">
        <v>80</v>
      </c>
      <c r="B108" s="65" t="s">
        <v>200</v>
      </c>
      <c r="C108" s="65" t="s">
        <v>81</v>
      </c>
      <c r="D108" s="65" t="s">
        <v>253</v>
      </c>
      <c r="E108" s="65">
        <v>-240.0</v>
      </c>
      <c r="F108" s="218">
        <v>124.44</v>
      </c>
      <c r="G108" s="219">
        <v>45226.0</v>
      </c>
      <c r="H108" s="67">
        <v>-0.06548513066987083</v>
      </c>
      <c r="I108" s="218">
        <f t="shared" si="1"/>
        <v>29865.6</v>
      </c>
    </row>
    <row r="109" ht="15.75" customHeight="1">
      <c r="A109" s="65" t="s">
        <v>340</v>
      </c>
      <c r="B109" s="65" t="s">
        <v>341</v>
      </c>
      <c r="C109" s="65" t="s">
        <v>81</v>
      </c>
      <c r="D109" s="65" t="s">
        <v>264</v>
      </c>
      <c r="E109" s="65">
        <v>1886.0</v>
      </c>
      <c r="F109" s="218">
        <v>15.855</v>
      </c>
      <c r="G109" s="219">
        <v>45226.0</v>
      </c>
      <c r="H109" s="67" t="s">
        <v>278</v>
      </c>
      <c r="I109" s="218">
        <f t="shared" si="1"/>
        <v>-29902.53</v>
      </c>
      <c r="J109" s="23">
        <v>18.0</v>
      </c>
    </row>
    <row r="110" ht="15.75" customHeight="1">
      <c r="A110" s="65" t="s">
        <v>84</v>
      </c>
      <c r="B110" s="65" t="s">
        <v>212</v>
      </c>
      <c r="C110" s="65" t="s">
        <v>85</v>
      </c>
      <c r="D110" s="65" t="s">
        <v>253</v>
      </c>
      <c r="E110" s="65">
        <v>-416.0</v>
      </c>
      <c r="F110" s="218">
        <v>32.55</v>
      </c>
      <c r="G110" s="219">
        <v>45226.0</v>
      </c>
      <c r="H110" s="67">
        <v>-0.041801589637915915</v>
      </c>
      <c r="I110" s="218">
        <f t="shared" si="1"/>
        <v>13540.8</v>
      </c>
    </row>
    <row r="111" ht="15.75" customHeight="1">
      <c r="A111" s="65" t="s">
        <v>271</v>
      </c>
      <c r="B111" s="65" t="s">
        <v>395</v>
      </c>
      <c r="C111" s="65" t="s">
        <v>85</v>
      </c>
      <c r="D111" s="65" t="s">
        <v>264</v>
      </c>
      <c r="E111" s="65">
        <v>494.0</v>
      </c>
      <c r="F111" s="218">
        <v>27.43</v>
      </c>
      <c r="G111" s="219">
        <v>45226.0</v>
      </c>
      <c r="H111" s="67" t="s">
        <v>278</v>
      </c>
      <c r="I111" s="218">
        <f t="shared" si="1"/>
        <v>-13550.42</v>
      </c>
      <c r="J111" s="23">
        <v>19.0</v>
      </c>
    </row>
    <row r="112" ht="15.75" customHeight="1">
      <c r="A112" s="23" t="s">
        <v>478</v>
      </c>
      <c r="B112" s="23" t="s">
        <v>479</v>
      </c>
      <c r="C112" s="23" t="s">
        <v>17</v>
      </c>
      <c r="D112" s="23" t="s">
        <v>264</v>
      </c>
      <c r="E112" s="23">
        <v>33.0</v>
      </c>
      <c r="F112" s="71">
        <v>854.34</v>
      </c>
      <c r="G112" s="50">
        <v>45230.0</v>
      </c>
      <c r="H112" s="19" t="s">
        <v>278</v>
      </c>
      <c r="I112" s="71">
        <f t="shared" si="1"/>
        <v>-28193.22</v>
      </c>
      <c r="J112" s="23">
        <v>20.0</v>
      </c>
    </row>
    <row r="113" ht="15.75" customHeight="1">
      <c r="A113" s="23" t="s">
        <v>102</v>
      </c>
      <c r="B113" s="23" t="s">
        <v>421</v>
      </c>
      <c r="C113" s="23" t="s">
        <v>79</v>
      </c>
      <c r="D113" s="23" t="s">
        <v>253</v>
      </c>
      <c r="E113" s="23">
        <v>-279.0</v>
      </c>
      <c r="F113" s="71">
        <v>75.26</v>
      </c>
      <c r="G113" s="50">
        <v>45237.0</v>
      </c>
      <c r="H113" s="19">
        <v>0.02492169413046441</v>
      </c>
      <c r="I113" s="71">
        <f t="shared" si="1"/>
        <v>20997.54</v>
      </c>
      <c r="J113" s="23">
        <v>21.0</v>
      </c>
    </row>
    <row r="114" ht="15.75" customHeight="1">
      <c r="A114" s="23" t="s">
        <v>78</v>
      </c>
      <c r="B114" s="23" t="s">
        <v>191</v>
      </c>
      <c r="C114" s="23" t="s">
        <v>79</v>
      </c>
      <c r="D114" s="23" t="s">
        <v>264</v>
      </c>
      <c r="E114" s="23">
        <v>625.0</v>
      </c>
      <c r="F114" s="71">
        <v>33.585</v>
      </c>
      <c r="G114" s="50">
        <v>45237.0</v>
      </c>
      <c r="H114" s="19" t="s">
        <v>278</v>
      </c>
      <c r="I114" s="71">
        <f t="shared" si="1"/>
        <v>-20990.625</v>
      </c>
    </row>
    <row r="115" ht="15.75" customHeight="1">
      <c r="A115" s="65" t="s">
        <v>73</v>
      </c>
      <c r="B115" s="65" t="str">
        <f>IFERROR(VLOOKUP($A115, 'Sector Holdings'!$B$3:$C$130, 2, FALSE),"N/A")</f>
        <v>SPDR Consumer Staples ETF</v>
      </c>
      <c r="C115" s="65" t="s">
        <v>74</v>
      </c>
      <c r="D115" s="65" t="s">
        <v>253</v>
      </c>
      <c r="E115" s="65">
        <v>-353.0</v>
      </c>
      <c r="F115" s="218">
        <v>68.93</v>
      </c>
      <c r="G115" s="219">
        <v>45240.0</v>
      </c>
      <c r="H115" s="67">
        <v>-0.055494656070156134</v>
      </c>
      <c r="I115" s="218">
        <f t="shared" si="1"/>
        <v>24332.29</v>
      </c>
    </row>
    <row r="116" ht="15.75" customHeight="1">
      <c r="A116" s="65" t="s">
        <v>165</v>
      </c>
      <c r="B116" s="65" t="s">
        <v>166</v>
      </c>
      <c r="C116" s="65" t="s">
        <v>74</v>
      </c>
      <c r="D116" s="65" t="s">
        <v>264</v>
      </c>
      <c r="E116" s="65">
        <v>597.0</v>
      </c>
      <c r="F116" s="218">
        <v>40.76</v>
      </c>
      <c r="G116" s="219">
        <v>45240.0</v>
      </c>
      <c r="H116" s="67" t="s">
        <v>278</v>
      </c>
      <c r="I116" s="218">
        <f t="shared" si="1"/>
        <v>-24333.72</v>
      </c>
      <c r="J116" s="23">
        <v>22.0</v>
      </c>
    </row>
    <row r="117" ht="15.75" customHeight="1">
      <c r="A117" s="23" t="s">
        <v>90</v>
      </c>
      <c r="B117" s="23" t="s">
        <v>230</v>
      </c>
      <c r="C117" s="23" t="s">
        <v>91</v>
      </c>
      <c r="D117" s="23" t="s">
        <v>253</v>
      </c>
      <c r="E117" s="23">
        <v>-210.0</v>
      </c>
      <c r="F117" s="71">
        <v>62.21</v>
      </c>
      <c r="G117" s="50">
        <v>45247.0</v>
      </c>
      <c r="H117" s="19">
        <v>-0.08622209165687422</v>
      </c>
      <c r="I117" s="71">
        <f t="shared" si="1"/>
        <v>13064.1</v>
      </c>
    </row>
    <row r="118" ht="15.75" customHeight="1">
      <c r="A118" s="23" t="s">
        <v>228</v>
      </c>
      <c r="B118" s="23" t="s">
        <v>229</v>
      </c>
      <c r="C118" s="23" t="s">
        <v>91</v>
      </c>
      <c r="D118" s="23" t="s">
        <v>264</v>
      </c>
      <c r="E118" s="23">
        <v>375.0</v>
      </c>
      <c r="F118" s="71">
        <v>34.8</v>
      </c>
      <c r="G118" s="50">
        <v>45247.0</v>
      </c>
      <c r="H118" s="19" t="s">
        <v>278</v>
      </c>
      <c r="I118" s="71">
        <f t="shared" si="1"/>
        <v>-13050</v>
      </c>
      <c r="J118" s="23">
        <v>23.0</v>
      </c>
    </row>
    <row r="119" ht="15.75" customHeight="1">
      <c r="A119" s="220" t="s">
        <v>467</v>
      </c>
      <c r="B119" s="65" t="s">
        <v>468</v>
      </c>
      <c r="C119" s="65" t="s">
        <v>69</v>
      </c>
      <c r="D119" s="65" t="s">
        <v>253</v>
      </c>
      <c r="E119" s="65">
        <v>-13.0</v>
      </c>
      <c r="F119" s="218">
        <v>288.8154</v>
      </c>
      <c r="G119" s="219">
        <v>45258.0</v>
      </c>
      <c r="H119" s="67">
        <v>-0.06386814469078173</v>
      </c>
      <c r="I119" s="218">
        <f t="shared" si="1"/>
        <v>3754.6002</v>
      </c>
      <c r="J119" s="23">
        <v>24.0</v>
      </c>
    </row>
    <row r="120" ht="15.75" customHeight="1">
      <c r="A120" s="220" t="s">
        <v>141</v>
      </c>
      <c r="B120" s="65" t="s">
        <v>458</v>
      </c>
      <c r="C120" s="65" t="s">
        <v>69</v>
      </c>
      <c r="D120" s="65" t="s">
        <v>253</v>
      </c>
      <c r="E120" s="65">
        <v>-95.0</v>
      </c>
      <c r="F120" s="218">
        <v>46.945</v>
      </c>
      <c r="G120" s="219">
        <v>45258.0</v>
      </c>
      <c r="H120" s="67">
        <v>0.14527933642351787</v>
      </c>
      <c r="I120" s="218">
        <f t="shared" si="1"/>
        <v>4459.775</v>
      </c>
    </row>
    <row r="121" ht="15.75" customHeight="1">
      <c r="A121" s="220" t="s">
        <v>354</v>
      </c>
      <c r="B121" s="65" t="s">
        <v>355</v>
      </c>
      <c r="C121" s="65" t="s">
        <v>69</v>
      </c>
      <c r="D121" s="65" t="s">
        <v>261</v>
      </c>
      <c r="E121" s="65">
        <v>-55.0</v>
      </c>
      <c r="F121" s="218">
        <v>26.52</v>
      </c>
      <c r="G121" s="219">
        <v>45258.0</v>
      </c>
      <c r="H121" s="67">
        <v>-0.1022342586323629</v>
      </c>
      <c r="I121" s="218">
        <f t="shared" si="1"/>
        <v>1458.6</v>
      </c>
    </row>
    <row r="122" ht="15.75" customHeight="1">
      <c r="A122" s="220" t="s">
        <v>469</v>
      </c>
      <c r="B122" s="65" t="s">
        <v>470</v>
      </c>
      <c r="C122" s="65" t="s">
        <v>69</v>
      </c>
      <c r="D122" s="65" t="s">
        <v>253</v>
      </c>
      <c r="E122" s="65">
        <v>-110.0</v>
      </c>
      <c r="F122" s="218">
        <v>38.6426</v>
      </c>
      <c r="G122" s="219">
        <v>45258.0</v>
      </c>
      <c r="H122" s="67">
        <v>0.087911036036036</v>
      </c>
      <c r="I122" s="218">
        <f t="shared" si="1"/>
        <v>4250.686</v>
      </c>
    </row>
    <row r="123" ht="15.75" customHeight="1">
      <c r="A123" s="220" t="s">
        <v>471</v>
      </c>
      <c r="B123" s="65" t="s">
        <v>472</v>
      </c>
      <c r="C123" s="65" t="s">
        <v>69</v>
      </c>
      <c r="D123" s="65" t="s">
        <v>253</v>
      </c>
      <c r="E123" s="65">
        <v>-188.0</v>
      </c>
      <c r="F123" s="218">
        <v>23.1513</v>
      </c>
      <c r="G123" s="219">
        <v>45258.0</v>
      </c>
      <c r="H123" s="67">
        <v>0.12058567279767662</v>
      </c>
      <c r="I123" s="218">
        <f t="shared" si="1"/>
        <v>4352.4444</v>
      </c>
    </row>
    <row r="124" ht="15.75" customHeight="1">
      <c r="A124" s="65" t="s">
        <v>269</v>
      </c>
      <c r="B124" s="65" t="s">
        <v>413</v>
      </c>
      <c r="C124" s="65" t="s">
        <v>69</v>
      </c>
      <c r="D124" s="65" t="s">
        <v>253</v>
      </c>
      <c r="E124" s="65">
        <v>-66.0</v>
      </c>
      <c r="F124" s="218">
        <v>28.7677</v>
      </c>
      <c r="G124" s="219">
        <v>45258.0</v>
      </c>
      <c r="H124" s="67">
        <v>-0.02084070796460169</v>
      </c>
      <c r="I124" s="218">
        <f t="shared" si="1"/>
        <v>1898.6682</v>
      </c>
    </row>
    <row r="125" ht="15.75" customHeight="1">
      <c r="A125" s="220" t="s">
        <v>146</v>
      </c>
      <c r="B125" s="65" t="s">
        <v>451</v>
      </c>
      <c r="C125" s="65" t="s">
        <v>69</v>
      </c>
      <c r="D125" s="65" t="s">
        <v>253</v>
      </c>
      <c r="E125" s="65">
        <v>-63.0</v>
      </c>
      <c r="F125" s="218">
        <v>30.0</v>
      </c>
      <c r="G125" s="219">
        <v>45258.0</v>
      </c>
      <c r="H125" s="67">
        <v>-0.0362993896562801</v>
      </c>
      <c r="I125" s="218">
        <f t="shared" si="1"/>
        <v>1890</v>
      </c>
    </row>
    <row r="126" ht="15.75" customHeight="1">
      <c r="A126" s="220" t="s">
        <v>473</v>
      </c>
      <c r="B126" s="65" t="s">
        <v>474</v>
      </c>
      <c r="C126" s="65" t="s">
        <v>69</v>
      </c>
      <c r="D126" s="65" t="s">
        <v>253</v>
      </c>
      <c r="E126" s="65">
        <v>-105.0</v>
      </c>
      <c r="F126" s="218">
        <v>16.905</v>
      </c>
      <c r="G126" s="219">
        <v>45258.0</v>
      </c>
      <c r="H126" s="67">
        <v>-0.08966074313408723</v>
      </c>
      <c r="I126" s="218">
        <f t="shared" si="1"/>
        <v>1775.025</v>
      </c>
    </row>
    <row r="127" ht="15.75" customHeight="1">
      <c r="A127" s="220" t="s">
        <v>149</v>
      </c>
      <c r="B127" s="65" t="s">
        <v>446</v>
      </c>
      <c r="C127" s="65" t="s">
        <v>69</v>
      </c>
      <c r="D127" s="65" t="s">
        <v>253</v>
      </c>
      <c r="E127" s="65">
        <v>-66.0</v>
      </c>
      <c r="F127" s="218">
        <v>31.5763</v>
      </c>
      <c r="G127" s="219">
        <v>45258.0</v>
      </c>
      <c r="H127" s="67">
        <v>0.07256453804347829</v>
      </c>
      <c r="I127" s="218">
        <f t="shared" si="1"/>
        <v>2084.0358</v>
      </c>
    </row>
    <row r="128" ht="15.75" customHeight="1">
      <c r="A128" s="220" t="s">
        <v>475</v>
      </c>
      <c r="B128" s="65" t="s">
        <v>476</v>
      </c>
      <c r="C128" s="65" t="s">
        <v>69</v>
      </c>
      <c r="D128" s="65" t="s">
        <v>253</v>
      </c>
      <c r="E128" s="65">
        <v>-39.0</v>
      </c>
      <c r="F128" s="218">
        <v>44.645</v>
      </c>
      <c r="G128" s="219">
        <v>45258.0</v>
      </c>
      <c r="H128" s="67">
        <v>-0.10513128883543787</v>
      </c>
      <c r="I128" s="218">
        <f t="shared" si="1"/>
        <v>1741.155</v>
      </c>
    </row>
    <row r="129" ht="15.75" customHeight="1">
      <c r="A129" s="220" t="s">
        <v>438</v>
      </c>
      <c r="B129" s="65" t="s">
        <v>477</v>
      </c>
      <c r="C129" s="65" t="s">
        <v>69</v>
      </c>
      <c r="D129" s="65" t="s">
        <v>253</v>
      </c>
      <c r="E129" s="65">
        <v>-52.0</v>
      </c>
      <c r="F129" s="218">
        <v>34.16</v>
      </c>
      <c r="G129" s="219">
        <v>45258.0</v>
      </c>
      <c r="H129" s="67">
        <v>-0.1010526315789475</v>
      </c>
      <c r="I129" s="218">
        <f t="shared" si="1"/>
        <v>1776.32</v>
      </c>
    </row>
    <row r="130" ht="15.75" customHeight="1">
      <c r="A130" s="220" t="s">
        <v>150</v>
      </c>
      <c r="B130" s="65" t="s">
        <v>369</v>
      </c>
      <c r="C130" s="65" t="s">
        <v>69</v>
      </c>
      <c r="D130" s="65" t="s">
        <v>253</v>
      </c>
      <c r="E130" s="65">
        <v>-121.0</v>
      </c>
      <c r="F130" s="218">
        <v>11.5022</v>
      </c>
      <c r="G130" s="219">
        <v>45258.0</v>
      </c>
      <c r="H130" s="67">
        <v>-0.28424393279402616</v>
      </c>
      <c r="I130" s="218">
        <f t="shared" si="1"/>
        <v>1391.7662</v>
      </c>
    </row>
    <row r="131" ht="15.75" customHeight="1">
      <c r="A131" s="65" t="s">
        <v>97</v>
      </c>
      <c r="B131" s="65" t="s">
        <v>162</v>
      </c>
      <c r="C131" s="65" t="s">
        <v>69</v>
      </c>
      <c r="D131" s="65" t="s">
        <v>253</v>
      </c>
      <c r="E131" s="65">
        <v>-21.0</v>
      </c>
      <c r="F131" s="218">
        <v>94.3608</v>
      </c>
      <c r="G131" s="219">
        <v>45258.0</v>
      </c>
      <c r="H131" s="67">
        <v>0.04450741642683198</v>
      </c>
      <c r="I131" s="218">
        <f t="shared" si="1"/>
        <v>1981.5768</v>
      </c>
    </row>
    <row r="132" ht="15.75" customHeight="1">
      <c r="A132" s="220" t="s">
        <v>145</v>
      </c>
      <c r="B132" s="65" t="s">
        <v>442</v>
      </c>
      <c r="C132" s="65" t="s">
        <v>69</v>
      </c>
      <c r="D132" s="65" t="s">
        <v>253</v>
      </c>
      <c r="E132" s="65">
        <v>-123.0</v>
      </c>
      <c r="F132" s="218">
        <v>17.59</v>
      </c>
      <c r="G132" s="219">
        <v>45258.0</v>
      </c>
      <c r="H132" s="67">
        <v>0.11611675126903553</v>
      </c>
      <c r="I132" s="218">
        <f t="shared" si="1"/>
        <v>2163.57</v>
      </c>
    </row>
    <row r="133" ht="15.75" customHeight="1">
      <c r="A133" s="220" t="s">
        <v>323</v>
      </c>
      <c r="B133" s="65" t="s">
        <v>324</v>
      </c>
      <c r="C133" s="65" t="s">
        <v>69</v>
      </c>
      <c r="D133" s="65" t="s">
        <v>253</v>
      </c>
      <c r="E133" s="65">
        <v>-45.0</v>
      </c>
      <c r="F133" s="218">
        <v>41.8</v>
      </c>
      <c r="G133" s="219">
        <v>45258.0</v>
      </c>
      <c r="H133" s="67">
        <v>-0.019469856908280625</v>
      </c>
      <c r="I133" s="218">
        <f t="shared" si="1"/>
        <v>1881</v>
      </c>
    </row>
    <row r="134" ht="15.75" customHeight="1">
      <c r="A134" s="65" t="s">
        <v>356</v>
      </c>
      <c r="B134" s="65" t="s">
        <v>357</v>
      </c>
      <c r="C134" s="65" t="s">
        <v>69</v>
      </c>
      <c r="D134" s="65" t="s">
        <v>264</v>
      </c>
      <c r="E134" s="65">
        <v>79.0</v>
      </c>
      <c r="F134" s="218">
        <v>25.51</v>
      </c>
      <c r="G134" s="219">
        <v>45258.0</v>
      </c>
      <c r="H134" s="67" t="s">
        <v>278</v>
      </c>
      <c r="I134" s="218">
        <f t="shared" si="1"/>
        <v>-2015.29</v>
      </c>
      <c r="J134" s="23">
        <v>25.0</v>
      </c>
    </row>
    <row r="135" ht="15.75" customHeight="1">
      <c r="A135" s="65" t="s">
        <v>358</v>
      </c>
      <c r="B135" s="65" t="s">
        <v>359</v>
      </c>
      <c r="C135" s="65" t="s">
        <v>69</v>
      </c>
      <c r="D135" s="65" t="s">
        <v>264</v>
      </c>
      <c r="E135" s="65">
        <v>7.0</v>
      </c>
      <c r="F135" s="218">
        <v>295.15</v>
      </c>
      <c r="G135" s="219">
        <v>45258.0</v>
      </c>
      <c r="H135" s="67" t="s">
        <v>278</v>
      </c>
      <c r="I135" s="218">
        <f t="shared" si="1"/>
        <v>-2066.05</v>
      </c>
    </row>
    <row r="136" ht="15.75" customHeight="1">
      <c r="A136" s="65" t="s">
        <v>302</v>
      </c>
      <c r="B136" s="65" t="s">
        <v>303</v>
      </c>
      <c r="C136" s="65" t="s">
        <v>69</v>
      </c>
      <c r="D136" s="65" t="s">
        <v>264</v>
      </c>
      <c r="E136" s="65">
        <v>17.0</v>
      </c>
      <c r="F136" s="218">
        <v>115.8</v>
      </c>
      <c r="G136" s="219">
        <v>45258.0</v>
      </c>
      <c r="H136" s="67" t="s">
        <v>278</v>
      </c>
      <c r="I136" s="218">
        <f t="shared" si="1"/>
        <v>-1968.6</v>
      </c>
    </row>
    <row r="137" ht="15.75" customHeight="1">
      <c r="A137" s="65" t="s">
        <v>256</v>
      </c>
      <c r="B137" s="65" t="s">
        <v>320</v>
      </c>
      <c r="C137" s="65" t="s">
        <v>69</v>
      </c>
      <c r="D137" s="65" t="s">
        <v>264</v>
      </c>
      <c r="E137" s="65">
        <v>8.0</v>
      </c>
      <c r="F137" s="218">
        <v>256.88</v>
      </c>
      <c r="G137" s="219">
        <v>45258.0</v>
      </c>
      <c r="H137" s="67" t="s">
        <v>278</v>
      </c>
      <c r="I137" s="218">
        <f t="shared" si="1"/>
        <v>-2055.04</v>
      </c>
    </row>
    <row r="138" ht="15.75" customHeight="1">
      <c r="A138" s="65" t="s">
        <v>360</v>
      </c>
      <c r="B138" s="65" t="s">
        <v>361</v>
      </c>
      <c r="C138" s="65" t="s">
        <v>69</v>
      </c>
      <c r="D138" s="65" t="s">
        <v>264</v>
      </c>
      <c r="E138" s="65">
        <v>34.0</v>
      </c>
      <c r="F138" s="218">
        <v>59.8773</v>
      </c>
      <c r="G138" s="219">
        <v>45258.0</v>
      </c>
      <c r="H138" s="67" t="s">
        <v>278</v>
      </c>
      <c r="I138" s="218">
        <f t="shared" si="1"/>
        <v>-2035.8282</v>
      </c>
    </row>
    <row r="139" ht="15.75" customHeight="1">
      <c r="A139" s="65" t="s">
        <v>362</v>
      </c>
      <c r="B139" s="65" t="s">
        <v>363</v>
      </c>
      <c r="C139" s="65" t="s">
        <v>69</v>
      </c>
      <c r="D139" s="65" t="s">
        <v>264</v>
      </c>
      <c r="E139" s="65">
        <v>7.0</v>
      </c>
      <c r="F139" s="218">
        <v>273.34</v>
      </c>
      <c r="G139" s="219">
        <v>45258.0</v>
      </c>
      <c r="H139" s="67" t="s">
        <v>278</v>
      </c>
      <c r="I139" s="218">
        <f t="shared" si="1"/>
        <v>-1913.38</v>
      </c>
    </row>
    <row r="140" ht="15.75" customHeight="1">
      <c r="A140" s="65" t="s">
        <v>142</v>
      </c>
      <c r="B140" s="65" t="s">
        <v>364</v>
      </c>
      <c r="C140" s="65" t="s">
        <v>69</v>
      </c>
      <c r="D140" s="65" t="s">
        <v>264</v>
      </c>
      <c r="E140" s="65">
        <v>27.0</v>
      </c>
      <c r="F140" s="218">
        <v>74.1</v>
      </c>
      <c r="G140" s="219">
        <v>45258.0</v>
      </c>
      <c r="H140" s="67" t="s">
        <v>278</v>
      </c>
      <c r="I140" s="218">
        <f t="shared" si="1"/>
        <v>-2000.7</v>
      </c>
    </row>
    <row r="141" ht="15.75" customHeight="1">
      <c r="A141" s="65" t="s">
        <v>365</v>
      </c>
      <c r="B141" s="65" t="s">
        <v>366</v>
      </c>
      <c r="C141" s="65" t="s">
        <v>69</v>
      </c>
      <c r="D141" s="65" t="s">
        <v>264</v>
      </c>
      <c r="E141" s="65">
        <v>9.0</v>
      </c>
      <c r="F141" s="218">
        <v>214.427</v>
      </c>
      <c r="G141" s="219">
        <v>45258.0</v>
      </c>
      <c r="H141" s="67" t="s">
        <v>278</v>
      </c>
      <c r="I141" s="218">
        <f t="shared" si="1"/>
        <v>-1929.843</v>
      </c>
    </row>
    <row r="142" ht="15.75" customHeight="1">
      <c r="A142" s="65" t="s">
        <v>367</v>
      </c>
      <c r="B142" s="65" t="s">
        <v>368</v>
      </c>
      <c r="C142" s="65" t="s">
        <v>69</v>
      </c>
      <c r="D142" s="65" t="s">
        <v>264</v>
      </c>
      <c r="E142" s="65">
        <v>15.0</v>
      </c>
      <c r="F142" s="218">
        <v>136.53</v>
      </c>
      <c r="G142" s="219">
        <v>45258.0</v>
      </c>
      <c r="H142" s="67" t="s">
        <v>278</v>
      </c>
      <c r="I142" s="218">
        <f t="shared" si="1"/>
        <v>-2047.95</v>
      </c>
    </row>
    <row r="143" ht="15.75" customHeight="1">
      <c r="A143" s="65" t="s">
        <v>344</v>
      </c>
      <c r="B143" s="65" t="s">
        <v>345</v>
      </c>
      <c r="C143" s="65" t="s">
        <v>69</v>
      </c>
      <c r="D143" s="65" t="s">
        <v>264</v>
      </c>
      <c r="E143" s="65">
        <v>49.0</v>
      </c>
      <c r="F143" s="218">
        <v>81.852</v>
      </c>
      <c r="G143" s="219">
        <v>45258.0</v>
      </c>
      <c r="H143" s="67" t="s">
        <v>278</v>
      </c>
      <c r="I143" s="218">
        <f t="shared" si="1"/>
        <v>-4010.748</v>
      </c>
    </row>
    <row r="144" ht="15.75" customHeight="1">
      <c r="A144" s="65" t="s">
        <v>346</v>
      </c>
      <c r="B144" s="65" t="s">
        <v>347</v>
      </c>
      <c r="C144" s="65" t="s">
        <v>69</v>
      </c>
      <c r="D144" s="65" t="s">
        <v>264</v>
      </c>
      <c r="E144" s="65">
        <v>12.0</v>
      </c>
      <c r="F144" s="218">
        <v>337.16</v>
      </c>
      <c r="G144" s="219">
        <v>45258.0</v>
      </c>
      <c r="H144" s="67" t="s">
        <v>278</v>
      </c>
      <c r="I144" s="218">
        <f t="shared" si="1"/>
        <v>-4045.92</v>
      </c>
    </row>
    <row r="145" ht="15.75" customHeight="1">
      <c r="A145" s="65" t="s">
        <v>348</v>
      </c>
      <c r="B145" s="65" t="s">
        <v>349</v>
      </c>
      <c r="C145" s="65" t="s">
        <v>69</v>
      </c>
      <c r="D145" s="65" t="s">
        <v>264</v>
      </c>
      <c r="E145" s="65">
        <v>16.0</v>
      </c>
      <c r="F145" s="218">
        <v>248.126</v>
      </c>
      <c r="G145" s="219">
        <v>45258.0</v>
      </c>
      <c r="H145" s="67" t="s">
        <v>278</v>
      </c>
      <c r="I145" s="218">
        <f t="shared" si="1"/>
        <v>-3970.016</v>
      </c>
    </row>
    <row r="146" ht="15.75" customHeight="1">
      <c r="A146" s="65" t="s">
        <v>350</v>
      </c>
      <c r="B146" s="65" t="s">
        <v>351</v>
      </c>
      <c r="C146" s="65" t="s">
        <v>69</v>
      </c>
      <c r="D146" s="65" t="s">
        <v>264</v>
      </c>
      <c r="E146" s="65">
        <v>142.0</v>
      </c>
      <c r="F146" s="218">
        <v>28.58</v>
      </c>
      <c r="G146" s="219">
        <v>45258.0</v>
      </c>
      <c r="H146" s="67" t="s">
        <v>278</v>
      </c>
      <c r="I146" s="218">
        <f t="shared" si="1"/>
        <v>-4058.36</v>
      </c>
    </row>
    <row r="147" ht="15.75" customHeight="1">
      <c r="A147" s="65" t="s">
        <v>352</v>
      </c>
      <c r="B147" s="65" t="s">
        <v>353</v>
      </c>
      <c r="C147" s="65" t="s">
        <v>69</v>
      </c>
      <c r="D147" s="65" t="s">
        <v>264</v>
      </c>
      <c r="E147" s="65">
        <v>288.0</v>
      </c>
      <c r="F147" s="218">
        <v>14.045</v>
      </c>
      <c r="G147" s="219">
        <v>45258.0</v>
      </c>
      <c r="H147" s="67" t="s">
        <v>278</v>
      </c>
      <c r="I147" s="218">
        <f t="shared" si="1"/>
        <v>-4044.96</v>
      </c>
    </row>
    <row r="148" ht="15.75" customHeight="1">
      <c r="A148" s="23" t="s">
        <v>88</v>
      </c>
      <c r="B148" s="23" t="s">
        <v>225</v>
      </c>
      <c r="C148" s="23" t="s">
        <v>89</v>
      </c>
      <c r="D148" s="23" t="s">
        <v>253</v>
      </c>
      <c r="E148" s="23">
        <v>-276.0</v>
      </c>
      <c r="F148" s="71">
        <v>69.82</v>
      </c>
      <c r="G148" s="50">
        <v>45261.0</v>
      </c>
      <c r="H148" s="19">
        <v>0.013352685050798119</v>
      </c>
      <c r="I148" s="71">
        <f t="shared" si="1"/>
        <v>19270.32</v>
      </c>
    </row>
    <row r="149" ht="15.75" customHeight="1">
      <c r="A149" s="23" t="s">
        <v>78</v>
      </c>
      <c r="B149" s="23" t="s">
        <v>191</v>
      </c>
      <c r="C149" s="23" t="s">
        <v>79</v>
      </c>
      <c r="D149" s="23" t="s">
        <v>253</v>
      </c>
      <c r="E149" s="23">
        <v>-625.0</v>
      </c>
      <c r="F149" s="71">
        <v>36.1234</v>
      </c>
      <c r="G149" s="50">
        <v>45261.0</v>
      </c>
      <c r="H149" s="19">
        <v>0.07558136072651478</v>
      </c>
      <c r="I149" s="71">
        <f t="shared" si="1"/>
        <v>22577.125</v>
      </c>
    </row>
    <row r="150" ht="15.75" customHeight="1">
      <c r="A150" s="23" t="s">
        <v>76</v>
      </c>
      <c r="B150" s="23" t="s">
        <v>176</v>
      </c>
      <c r="C150" s="23" t="s">
        <v>77</v>
      </c>
      <c r="D150" s="23" t="s">
        <v>253</v>
      </c>
      <c r="E150" s="23">
        <v>-354.0</v>
      </c>
      <c r="F150" s="71">
        <v>85.16</v>
      </c>
      <c r="G150" s="50">
        <v>45261.0</v>
      </c>
      <c r="H150" s="19">
        <v>0.06118380062305295</v>
      </c>
      <c r="I150" s="71">
        <f t="shared" si="1"/>
        <v>30146.64</v>
      </c>
    </row>
    <row r="151" ht="15.75" customHeight="1">
      <c r="A151" s="23" t="s">
        <v>223</v>
      </c>
      <c r="B151" s="23" t="s">
        <v>224</v>
      </c>
      <c r="C151" s="23" t="s">
        <v>89</v>
      </c>
      <c r="D151" s="23" t="s">
        <v>264</v>
      </c>
      <c r="E151" s="23">
        <v>230.0</v>
      </c>
      <c r="F151" s="71">
        <v>83.935</v>
      </c>
      <c r="G151" s="50">
        <v>45261.0</v>
      </c>
      <c r="H151" s="19" t="s">
        <v>278</v>
      </c>
      <c r="I151" s="71">
        <f t="shared" si="1"/>
        <v>-19305.05</v>
      </c>
      <c r="J151" s="23">
        <v>26.0</v>
      </c>
    </row>
    <row r="152" ht="15.75" customHeight="1">
      <c r="A152" s="23" t="s">
        <v>266</v>
      </c>
      <c r="B152" s="23" t="s">
        <v>338</v>
      </c>
      <c r="C152" s="23" t="s">
        <v>79</v>
      </c>
      <c r="D152" s="23" t="s">
        <v>264</v>
      </c>
      <c r="E152" s="23">
        <v>222.0</v>
      </c>
      <c r="F152" s="71">
        <v>101.2</v>
      </c>
      <c r="G152" s="50">
        <v>45261.0</v>
      </c>
      <c r="H152" s="19" t="s">
        <v>278</v>
      </c>
      <c r="I152" s="71">
        <f t="shared" si="1"/>
        <v>-22466.4</v>
      </c>
      <c r="J152" s="23">
        <v>27.0</v>
      </c>
    </row>
    <row r="153" ht="15.75" customHeight="1">
      <c r="A153" s="23" t="s">
        <v>265</v>
      </c>
      <c r="B153" s="18" t="s">
        <v>407</v>
      </c>
      <c r="C153" s="23" t="s">
        <v>77</v>
      </c>
      <c r="D153" s="23" t="s">
        <v>264</v>
      </c>
      <c r="E153" s="23">
        <v>186.0</v>
      </c>
      <c r="F153" s="71">
        <v>162.345</v>
      </c>
      <c r="G153" s="50">
        <v>45261.0</v>
      </c>
      <c r="H153" s="19" t="s">
        <v>278</v>
      </c>
      <c r="I153" s="71">
        <f t="shared" si="1"/>
        <v>-30196.17</v>
      </c>
      <c r="J153" s="23">
        <v>28.0</v>
      </c>
    </row>
    <row r="154" ht="15.75" customHeight="1">
      <c r="A154" s="23" t="s">
        <v>45</v>
      </c>
      <c r="B154" s="23" t="s">
        <v>480</v>
      </c>
      <c r="C154" s="23" t="s">
        <v>17</v>
      </c>
      <c r="D154" s="23" t="s">
        <v>264</v>
      </c>
      <c r="E154" s="23">
        <v>43.0</v>
      </c>
      <c r="F154" s="71">
        <v>949.01</v>
      </c>
      <c r="G154" s="50">
        <v>45261.0</v>
      </c>
      <c r="H154" s="19" t="s">
        <v>278</v>
      </c>
      <c r="I154" s="71">
        <f t="shared" si="1"/>
        <v>-40807.43</v>
      </c>
      <c r="J154" s="23">
        <v>29.0</v>
      </c>
    </row>
    <row r="155" ht="15.75" customHeight="1">
      <c r="B155" s="23" t="str">
        <f>IFERROR(VLOOKUP($A155, 'Sector Holdings'!$B$3:$C$130, 2, FALSE),"N/A")</f>
        <v>N/A</v>
      </c>
      <c r="F155" s="71"/>
      <c r="G155" s="50"/>
      <c r="H155" s="19" t="str">
        <f>IF(OR(D155="Sell to Trim", D155="Sell to Close"),F155/VLOOKUP(A155, 'Sector Holdings'!$B$3:$M$121, 11, FALSE) - 1, "N/A")</f>
        <v>N/A</v>
      </c>
      <c r="I155" s="71"/>
    </row>
    <row r="156" ht="15.75" customHeight="1">
      <c r="F156" s="71"/>
      <c r="G156" s="50"/>
      <c r="H156" s="19"/>
      <c r="I156" s="71"/>
    </row>
    <row r="157" ht="15.75" customHeight="1">
      <c r="F157" s="71"/>
      <c r="G157" s="50"/>
      <c r="H157" s="19"/>
      <c r="I157" s="71"/>
    </row>
    <row r="158" ht="15.75" customHeight="1">
      <c r="F158" s="71"/>
      <c r="G158" s="50"/>
      <c r="H158" s="19"/>
      <c r="I158" s="71"/>
    </row>
    <row r="159" ht="15.75" customHeight="1">
      <c r="F159" s="71"/>
      <c r="G159" s="50"/>
      <c r="H159" s="19"/>
      <c r="I159" s="71"/>
    </row>
    <row r="160" ht="15.75" customHeight="1">
      <c r="F160" s="71"/>
      <c r="G160" s="50"/>
      <c r="H160" s="19"/>
      <c r="I160" s="71"/>
    </row>
    <row r="161" ht="15.75" customHeight="1">
      <c r="F161" s="71"/>
      <c r="G161" s="50"/>
      <c r="H161" s="19"/>
      <c r="I161" s="71"/>
    </row>
    <row r="162" ht="15.75" customHeight="1">
      <c r="F162" s="71"/>
      <c r="G162" s="50"/>
      <c r="H162" s="19"/>
      <c r="I162" s="71"/>
    </row>
    <row r="163" ht="15.75" customHeight="1">
      <c r="F163" s="71"/>
      <c r="G163" s="50"/>
      <c r="H163" s="19"/>
      <c r="I163" s="71"/>
    </row>
    <row r="164" ht="15.75" customHeight="1">
      <c r="F164" s="71"/>
      <c r="G164" s="50"/>
      <c r="H164" s="19"/>
      <c r="I164" s="71"/>
    </row>
    <row r="165" ht="15.75" customHeight="1">
      <c r="F165" s="71"/>
      <c r="G165" s="50"/>
      <c r="H165" s="19"/>
      <c r="I165" s="71"/>
    </row>
    <row r="166" ht="15.75" customHeight="1">
      <c r="F166" s="71"/>
      <c r="G166" s="50"/>
      <c r="H166" s="19"/>
      <c r="I166" s="71"/>
    </row>
    <row r="167" ht="15.75" customHeight="1">
      <c r="F167" s="71"/>
      <c r="G167" s="50"/>
      <c r="H167" s="19"/>
      <c r="I167" s="71"/>
    </row>
    <row r="168" ht="15.75" customHeight="1">
      <c r="F168" s="71"/>
      <c r="G168" s="50"/>
      <c r="H168" s="19"/>
      <c r="I168" s="71"/>
    </row>
    <row r="169" ht="15.75" customHeight="1">
      <c r="F169" s="71"/>
      <c r="G169" s="50"/>
      <c r="H169" s="19"/>
      <c r="I169" s="71"/>
    </row>
    <row r="170" ht="15.75" customHeight="1">
      <c r="F170" s="71"/>
      <c r="G170" s="50"/>
      <c r="H170" s="19"/>
      <c r="I170" s="71"/>
    </row>
    <row r="171" ht="15.75" customHeight="1">
      <c r="F171" s="71"/>
      <c r="G171" s="50"/>
      <c r="H171" s="19"/>
      <c r="I171" s="71"/>
    </row>
    <row r="172" ht="15.75" customHeight="1">
      <c r="F172" s="71"/>
      <c r="G172" s="50"/>
      <c r="H172" s="19"/>
      <c r="I172" s="71"/>
    </row>
    <row r="173" ht="15.75" customHeight="1">
      <c r="F173" s="71"/>
      <c r="G173" s="50"/>
      <c r="H173" s="19"/>
      <c r="I173" s="71"/>
    </row>
    <row r="174" ht="15.75" customHeight="1">
      <c r="F174" s="71"/>
      <c r="G174" s="50"/>
      <c r="H174" s="19"/>
      <c r="I174" s="71"/>
    </row>
    <row r="175" ht="15.75" customHeight="1">
      <c r="F175" s="71"/>
      <c r="G175" s="50"/>
      <c r="H175" s="19"/>
      <c r="I175" s="71"/>
    </row>
    <row r="176" ht="15.75" customHeight="1">
      <c r="F176" s="71"/>
      <c r="G176" s="50"/>
      <c r="H176" s="19"/>
      <c r="I176" s="71"/>
    </row>
    <row r="177" ht="15.75" customHeight="1">
      <c r="F177" s="71"/>
      <c r="G177" s="50"/>
      <c r="H177" s="19"/>
      <c r="I177" s="71"/>
    </row>
    <row r="178" ht="15.75" customHeight="1">
      <c r="F178" s="71"/>
      <c r="G178" s="50"/>
      <c r="H178" s="19"/>
      <c r="I178" s="71"/>
    </row>
    <row r="179" ht="15.75" customHeight="1">
      <c r="F179" s="71"/>
      <c r="G179" s="50"/>
      <c r="H179" s="19"/>
      <c r="I179" s="71"/>
    </row>
    <row r="180" ht="15.75" customHeight="1">
      <c r="F180" s="71"/>
      <c r="G180" s="50"/>
      <c r="H180" s="19"/>
      <c r="I180" s="71"/>
    </row>
    <row r="181" ht="15.75" customHeight="1">
      <c r="F181" s="71"/>
      <c r="G181" s="50"/>
      <c r="H181" s="19"/>
      <c r="I181" s="71"/>
    </row>
    <row r="182" ht="15.75" customHeight="1">
      <c r="F182" s="71"/>
      <c r="G182" s="50"/>
      <c r="H182" s="19"/>
      <c r="I182" s="71"/>
    </row>
    <row r="183" ht="15.75" customHeight="1">
      <c r="F183" s="71"/>
      <c r="G183" s="50"/>
      <c r="H183" s="19"/>
      <c r="I183" s="71"/>
    </row>
    <row r="184" ht="15.75" customHeight="1">
      <c r="F184" s="71"/>
      <c r="G184" s="50"/>
      <c r="H184" s="19"/>
      <c r="I184" s="71"/>
    </row>
    <row r="185" ht="15.75" customHeight="1">
      <c r="F185" s="71"/>
      <c r="G185" s="50"/>
      <c r="H185" s="19"/>
      <c r="I185" s="71"/>
    </row>
    <row r="186" ht="15.75" customHeight="1">
      <c r="F186" s="71"/>
      <c r="G186" s="50"/>
      <c r="H186" s="19"/>
      <c r="I186" s="71"/>
    </row>
    <row r="187" ht="15.75" customHeight="1">
      <c r="F187" s="71"/>
      <c r="G187" s="50"/>
      <c r="H187" s="19"/>
      <c r="I187" s="71"/>
    </row>
    <row r="188" ht="15.75" customHeight="1">
      <c r="F188" s="71"/>
      <c r="G188" s="50"/>
      <c r="H188" s="19"/>
      <c r="I188" s="71"/>
    </row>
    <row r="189" ht="15.75" customHeight="1">
      <c r="F189" s="71"/>
      <c r="G189" s="50"/>
      <c r="H189" s="19"/>
      <c r="I189" s="71"/>
    </row>
    <row r="190" ht="15.75" customHeight="1">
      <c r="F190" s="71"/>
      <c r="G190" s="50"/>
      <c r="H190" s="19"/>
      <c r="I190" s="71"/>
    </row>
    <row r="191" ht="15.75" customHeight="1">
      <c r="F191" s="71"/>
      <c r="G191" s="50"/>
      <c r="H191" s="19"/>
      <c r="I191" s="71"/>
    </row>
    <row r="192" ht="15.75" customHeight="1">
      <c r="F192" s="71"/>
      <c r="G192" s="50"/>
      <c r="H192" s="19"/>
      <c r="I192" s="71"/>
    </row>
    <row r="193" ht="15.75" customHeight="1">
      <c r="F193" s="71"/>
      <c r="G193" s="50"/>
      <c r="H193" s="19"/>
      <c r="I193" s="71"/>
    </row>
    <row r="194" ht="15.75" customHeight="1">
      <c r="F194" s="71"/>
      <c r="G194" s="50"/>
      <c r="H194" s="19"/>
      <c r="I194" s="71"/>
    </row>
    <row r="195" ht="15.75" customHeight="1">
      <c r="F195" s="71"/>
      <c r="G195" s="50"/>
      <c r="H195" s="19"/>
      <c r="I195" s="71"/>
    </row>
    <row r="196" ht="15.75" customHeight="1">
      <c r="F196" s="71"/>
      <c r="G196" s="50"/>
      <c r="H196" s="19"/>
      <c r="I196" s="71"/>
    </row>
    <row r="197" ht="15.75" customHeight="1">
      <c r="F197" s="71"/>
      <c r="G197" s="50"/>
      <c r="H197" s="19"/>
      <c r="I197" s="71"/>
    </row>
    <row r="198" ht="15.75" customHeight="1">
      <c r="F198" s="71"/>
      <c r="G198" s="50"/>
      <c r="H198" s="19"/>
      <c r="I198" s="71"/>
    </row>
    <row r="199" ht="15.75" customHeight="1">
      <c r="F199" s="71"/>
      <c r="G199" s="50"/>
      <c r="H199" s="19"/>
      <c r="I199" s="71"/>
    </row>
    <row r="200" ht="15.75" customHeight="1">
      <c r="F200" s="71"/>
      <c r="G200" s="50"/>
      <c r="H200" s="19"/>
      <c r="I200" s="71"/>
    </row>
    <row r="201" ht="15.75" customHeight="1">
      <c r="F201" s="71"/>
      <c r="G201" s="50"/>
      <c r="H201" s="19"/>
      <c r="I201" s="71"/>
    </row>
    <row r="202" ht="15.75" customHeight="1">
      <c r="F202" s="71"/>
      <c r="G202" s="50"/>
      <c r="H202" s="19"/>
      <c r="I202" s="71"/>
    </row>
    <row r="203" ht="15.75" customHeight="1">
      <c r="F203" s="71"/>
      <c r="G203" s="50"/>
      <c r="H203" s="19"/>
      <c r="I203" s="71"/>
    </row>
    <row r="204" ht="15.75" customHeight="1">
      <c r="F204" s="71"/>
      <c r="G204" s="50"/>
      <c r="H204" s="19"/>
      <c r="I204" s="71"/>
    </row>
    <row r="205" ht="15.75" customHeight="1">
      <c r="F205" s="71"/>
      <c r="G205" s="50"/>
      <c r="H205" s="19"/>
      <c r="I205" s="71"/>
    </row>
    <row r="206" ht="15.75" customHeight="1">
      <c r="F206" s="71"/>
      <c r="G206" s="50"/>
      <c r="H206" s="19"/>
      <c r="I206" s="71"/>
    </row>
    <row r="207" ht="15.75" customHeight="1">
      <c r="F207" s="71"/>
      <c r="G207" s="50"/>
      <c r="H207" s="19"/>
      <c r="I207" s="71"/>
    </row>
    <row r="208" ht="15.75" customHeight="1">
      <c r="F208" s="71"/>
      <c r="G208" s="50"/>
      <c r="H208" s="19"/>
      <c r="I208" s="71"/>
    </row>
    <row r="209" ht="15.75" customHeight="1">
      <c r="F209" s="71"/>
      <c r="G209" s="50"/>
      <c r="H209" s="19"/>
      <c r="I209" s="71"/>
    </row>
    <row r="210" ht="15.75" customHeight="1">
      <c r="F210" s="71"/>
      <c r="G210" s="50"/>
      <c r="H210" s="19"/>
      <c r="I210" s="71"/>
    </row>
    <row r="211" ht="15.75" customHeight="1">
      <c r="F211" s="71"/>
      <c r="G211" s="50"/>
      <c r="H211" s="19"/>
      <c r="I211" s="71"/>
    </row>
    <row r="212" ht="15.75" customHeight="1">
      <c r="F212" s="71"/>
      <c r="G212" s="50"/>
      <c r="H212" s="19"/>
      <c r="I212" s="71"/>
    </row>
    <row r="213" ht="15.75" customHeight="1">
      <c r="F213" s="71"/>
      <c r="G213" s="50"/>
      <c r="H213" s="19"/>
      <c r="I213" s="71"/>
    </row>
    <row r="214" ht="15.75" customHeight="1">
      <c r="F214" s="71"/>
      <c r="G214" s="50"/>
      <c r="H214" s="19"/>
      <c r="I214" s="71"/>
    </row>
    <row r="215" ht="15.75" customHeight="1">
      <c r="F215" s="71"/>
      <c r="G215" s="50"/>
      <c r="H215" s="19"/>
      <c r="I215" s="71"/>
    </row>
    <row r="216" ht="15.75" customHeight="1">
      <c r="F216" s="71"/>
      <c r="G216" s="50"/>
      <c r="H216" s="19"/>
      <c r="I216" s="71"/>
    </row>
    <row r="217" ht="15.75" customHeight="1">
      <c r="F217" s="71"/>
      <c r="G217" s="50"/>
      <c r="H217" s="19"/>
      <c r="I217" s="71"/>
    </row>
    <row r="218" ht="15.75" customHeight="1">
      <c r="F218" s="71"/>
      <c r="G218" s="50"/>
      <c r="H218" s="19"/>
      <c r="I218" s="71"/>
    </row>
    <row r="219" ht="15.75" customHeight="1">
      <c r="F219" s="71"/>
      <c r="G219" s="50"/>
      <c r="H219" s="19"/>
      <c r="I219" s="71"/>
    </row>
    <row r="220" ht="15.75" customHeight="1">
      <c r="F220" s="71"/>
      <c r="G220" s="50"/>
      <c r="H220" s="19"/>
      <c r="I220" s="71"/>
    </row>
    <row r="221" ht="15.75" customHeight="1">
      <c r="F221" s="71"/>
      <c r="G221" s="50"/>
      <c r="H221" s="19"/>
      <c r="I221" s="71"/>
    </row>
    <row r="222" ht="15.75" customHeight="1">
      <c r="F222" s="71"/>
      <c r="G222" s="50"/>
      <c r="H222" s="19"/>
      <c r="I222" s="71"/>
    </row>
    <row r="223" ht="15.75" customHeight="1">
      <c r="F223" s="71"/>
      <c r="G223" s="50"/>
      <c r="H223" s="19"/>
      <c r="I223" s="71"/>
    </row>
    <row r="224" ht="15.75" customHeight="1">
      <c r="F224" s="71"/>
      <c r="G224" s="50"/>
      <c r="H224" s="19"/>
      <c r="I224" s="71"/>
    </row>
    <row r="225" ht="15.75" customHeight="1">
      <c r="F225" s="71"/>
      <c r="G225" s="50"/>
      <c r="H225" s="19"/>
      <c r="I225" s="71"/>
    </row>
    <row r="226" ht="15.75" customHeight="1">
      <c r="F226" s="71"/>
      <c r="G226" s="50"/>
      <c r="H226" s="19"/>
      <c r="I226" s="71"/>
    </row>
    <row r="227" ht="15.75" customHeight="1">
      <c r="F227" s="71"/>
      <c r="G227" s="50"/>
      <c r="H227" s="19"/>
      <c r="I227" s="71"/>
    </row>
    <row r="228" ht="15.75" customHeight="1">
      <c r="F228" s="71"/>
      <c r="G228" s="50"/>
      <c r="H228" s="19"/>
      <c r="I228" s="71"/>
    </row>
    <row r="229" ht="15.75" customHeight="1">
      <c r="F229" s="71"/>
      <c r="G229" s="50"/>
      <c r="H229" s="19"/>
      <c r="I229" s="71"/>
    </row>
    <row r="230" ht="15.75" customHeight="1">
      <c r="F230" s="71"/>
      <c r="G230" s="50"/>
      <c r="H230" s="19"/>
      <c r="I230" s="71"/>
    </row>
    <row r="231" ht="15.75" customHeight="1">
      <c r="F231" s="71"/>
      <c r="G231" s="50"/>
      <c r="H231" s="19"/>
      <c r="I231" s="71"/>
    </row>
    <row r="232" ht="15.75" customHeight="1">
      <c r="F232" s="71"/>
      <c r="G232" s="50"/>
      <c r="H232" s="19"/>
      <c r="I232" s="71"/>
    </row>
    <row r="233" ht="15.75" customHeight="1">
      <c r="F233" s="71"/>
      <c r="G233" s="50"/>
      <c r="H233" s="19"/>
      <c r="I233" s="71"/>
    </row>
    <row r="234" ht="15.75" customHeight="1">
      <c r="F234" s="71"/>
      <c r="G234" s="50"/>
      <c r="H234" s="19"/>
      <c r="I234" s="71"/>
    </row>
    <row r="235" ht="15.75" customHeight="1">
      <c r="F235" s="71"/>
      <c r="G235" s="50"/>
      <c r="H235" s="19"/>
      <c r="I235" s="71"/>
    </row>
    <row r="236" ht="15.75" customHeight="1">
      <c r="F236" s="71"/>
      <c r="G236" s="50"/>
      <c r="H236" s="19"/>
      <c r="I236" s="71"/>
    </row>
    <row r="237" ht="15.75" customHeight="1">
      <c r="F237" s="71"/>
      <c r="G237" s="50"/>
      <c r="H237" s="19"/>
      <c r="I237" s="71"/>
    </row>
    <row r="238" ht="15.75" customHeight="1">
      <c r="F238" s="71"/>
      <c r="G238" s="50"/>
      <c r="H238" s="19"/>
      <c r="I238" s="71"/>
    </row>
    <row r="239" ht="15.75" customHeight="1">
      <c r="F239" s="71"/>
      <c r="G239" s="50"/>
      <c r="H239" s="19"/>
      <c r="I239" s="71"/>
    </row>
    <row r="240" ht="15.75" customHeight="1">
      <c r="F240" s="71"/>
      <c r="G240" s="50"/>
      <c r="H240" s="19"/>
      <c r="I240" s="71"/>
    </row>
    <row r="241" ht="15.75" customHeight="1">
      <c r="F241" s="71"/>
      <c r="G241" s="50"/>
      <c r="H241" s="19"/>
      <c r="I241" s="71"/>
    </row>
    <row r="242" ht="15.75" customHeight="1">
      <c r="F242" s="71"/>
      <c r="G242" s="50"/>
      <c r="H242" s="19"/>
      <c r="I242" s="71"/>
    </row>
    <row r="243" ht="15.75" customHeight="1">
      <c r="F243" s="71"/>
      <c r="G243" s="50"/>
      <c r="H243" s="19"/>
      <c r="I243" s="71"/>
    </row>
    <row r="244" ht="15.75" customHeight="1">
      <c r="F244" s="71"/>
      <c r="G244" s="50"/>
      <c r="H244" s="19"/>
      <c r="I244" s="71"/>
    </row>
    <row r="245" ht="15.75" customHeight="1">
      <c r="F245" s="71"/>
      <c r="G245" s="50"/>
      <c r="H245" s="19"/>
      <c r="I245" s="71"/>
    </row>
    <row r="246" ht="15.75" customHeight="1">
      <c r="F246" s="71"/>
      <c r="G246" s="50"/>
      <c r="H246" s="19"/>
      <c r="I246" s="71"/>
    </row>
    <row r="247" ht="15.75" customHeight="1">
      <c r="F247" s="71"/>
      <c r="G247" s="50"/>
      <c r="H247" s="19"/>
      <c r="I247" s="71"/>
    </row>
    <row r="248" ht="15.75" customHeight="1">
      <c r="F248" s="71"/>
      <c r="G248" s="50"/>
      <c r="H248" s="19"/>
      <c r="I248" s="71"/>
    </row>
    <row r="249" ht="15.75" customHeight="1">
      <c r="F249" s="71"/>
      <c r="G249" s="50"/>
      <c r="H249" s="19"/>
      <c r="I249" s="71"/>
    </row>
    <row r="250" ht="15.75" customHeight="1">
      <c r="F250" s="71"/>
      <c r="G250" s="50"/>
      <c r="H250" s="19"/>
      <c r="I250" s="71"/>
    </row>
    <row r="251" ht="15.75" customHeight="1">
      <c r="F251" s="71"/>
      <c r="G251" s="50"/>
      <c r="H251" s="19"/>
      <c r="I251" s="71"/>
    </row>
    <row r="252" ht="15.75" customHeight="1">
      <c r="F252" s="71"/>
      <c r="G252" s="50"/>
      <c r="H252" s="19"/>
      <c r="I252" s="71"/>
    </row>
    <row r="253" ht="15.75" customHeight="1">
      <c r="F253" s="71"/>
      <c r="G253" s="50"/>
      <c r="H253" s="19"/>
      <c r="I253" s="71"/>
    </row>
    <row r="254" ht="15.75" customHeight="1">
      <c r="F254" s="71"/>
      <c r="G254" s="50"/>
      <c r="H254" s="19"/>
      <c r="I254" s="71"/>
    </row>
    <row r="255" ht="15.75" customHeight="1">
      <c r="F255" s="71"/>
      <c r="G255" s="50"/>
      <c r="H255" s="19"/>
      <c r="I255" s="71"/>
    </row>
    <row r="256" ht="15.75" customHeight="1">
      <c r="F256" s="71"/>
      <c r="G256" s="50"/>
      <c r="H256" s="19"/>
      <c r="I256" s="71"/>
    </row>
    <row r="257" ht="15.75" customHeight="1">
      <c r="F257" s="71"/>
      <c r="G257" s="50"/>
      <c r="H257" s="19"/>
      <c r="I257" s="71"/>
    </row>
    <row r="258" ht="15.75" customHeight="1">
      <c r="F258" s="71"/>
      <c r="G258" s="50"/>
      <c r="H258" s="19"/>
      <c r="I258" s="71"/>
    </row>
    <row r="259" ht="15.75" customHeight="1">
      <c r="F259" s="71"/>
      <c r="G259" s="50"/>
      <c r="H259" s="19"/>
      <c r="I259" s="71"/>
    </row>
    <row r="260" ht="15.75" customHeight="1">
      <c r="F260" s="71"/>
      <c r="G260" s="50"/>
      <c r="H260" s="19"/>
      <c r="I260" s="71"/>
    </row>
    <row r="261" ht="15.75" customHeight="1">
      <c r="F261" s="71"/>
      <c r="G261" s="50"/>
      <c r="H261" s="19"/>
      <c r="I261" s="71"/>
    </row>
    <row r="262" ht="15.75" customHeight="1">
      <c r="F262" s="71"/>
      <c r="G262" s="50"/>
      <c r="H262" s="19"/>
      <c r="I262" s="71"/>
    </row>
    <row r="263" ht="15.75" customHeight="1">
      <c r="F263" s="71"/>
      <c r="G263" s="50"/>
      <c r="H263" s="19"/>
      <c r="I263" s="71"/>
    </row>
    <row r="264" ht="15.75" customHeight="1">
      <c r="F264" s="71"/>
      <c r="G264" s="50"/>
      <c r="H264" s="19"/>
      <c r="I264" s="71"/>
    </row>
    <row r="265" ht="15.75" customHeight="1">
      <c r="F265" s="71"/>
      <c r="G265" s="50"/>
      <c r="H265" s="19"/>
      <c r="I265" s="71"/>
    </row>
    <row r="266" ht="15.75" customHeight="1">
      <c r="F266" s="71"/>
      <c r="G266" s="50"/>
      <c r="H266" s="19"/>
      <c r="I266" s="71"/>
    </row>
    <row r="267" ht="15.75" customHeight="1">
      <c r="F267" s="71"/>
      <c r="G267" s="50"/>
      <c r="H267" s="19"/>
      <c r="I267" s="71"/>
    </row>
    <row r="268" ht="15.75" customHeight="1">
      <c r="F268" s="71"/>
      <c r="G268" s="50"/>
      <c r="H268" s="19"/>
      <c r="I268" s="71"/>
    </row>
    <row r="269" ht="15.75" customHeight="1">
      <c r="F269" s="71"/>
      <c r="G269" s="50"/>
      <c r="H269" s="19"/>
      <c r="I269" s="71"/>
    </row>
    <row r="270" ht="15.75" customHeight="1">
      <c r="F270" s="71"/>
      <c r="G270" s="50"/>
      <c r="H270" s="19"/>
      <c r="I270" s="71"/>
    </row>
    <row r="271" ht="15.75" customHeight="1">
      <c r="F271" s="71"/>
      <c r="G271" s="50"/>
      <c r="H271" s="19"/>
      <c r="I271" s="71"/>
    </row>
    <row r="272" ht="15.75" customHeight="1">
      <c r="F272" s="71"/>
      <c r="G272" s="50"/>
      <c r="H272" s="19"/>
      <c r="I272" s="71"/>
    </row>
    <row r="273" ht="15.75" customHeight="1">
      <c r="F273" s="71"/>
      <c r="G273" s="50"/>
      <c r="H273" s="19"/>
      <c r="I273" s="71"/>
    </row>
    <row r="274" ht="15.75" customHeight="1">
      <c r="F274" s="71"/>
      <c r="G274" s="50"/>
      <c r="H274" s="19"/>
      <c r="I274" s="71"/>
    </row>
    <row r="275" ht="15.75" customHeight="1">
      <c r="F275" s="71"/>
      <c r="G275" s="50"/>
      <c r="H275" s="19"/>
      <c r="I275" s="71"/>
    </row>
    <row r="276" ht="15.75" customHeight="1">
      <c r="F276" s="71"/>
      <c r="G276" s="50"/>
      <c r="H276" s="19"/>
      <c r="I276" s="71"/>
    </row>
    <row r="277" ht="15.75" customHeight="1">
      <c r="F277" s="71"/>
      <c r="G277" s="50"/>
      <c r="H277" s="19"/>
      <c r="I277" s="71"/>
    </row>
    <row r="278" ht="15.75" customHeight="1">
      <c r="F278" s="71"/>
      <c r="G278" s="50"/>
      <c r="H278" s="19"/>
      <c r="I278" s="71"/>
    </row>
    <row r="279" ht="15.75" customHeight="1">
      <c r="F279" s="71"/>
      <c r="G279" s="50"/>
      <c r="H279" s="19"/>
      <c r="I279" s="71"/>
    </row>
    <row r="280" ht="15.75" customHeight="1">
      <c r="F280" s="71"/>
      <c r="G280" s="50"/>
      <c r="H280" s="19"/>
      <c r="I280" s="71"/>
    </row>
    <row r="281" ht="15.75" customHeight="1">
      <c r="F281" s="71"/>
      <c r="G281" s="50"/>
      <c r="H281" s="19"/>
      <c r="I281" s="71"/>
    </row>
    <row r="282" ht="15.75" customHeight="1">
      <c r="F282" s="71"/>
      <c r="G282" s="50"/>
      <c r="H282" s="19"/>
      <c r="I282" s="71"/>
    </row>
    <row r="283" ht="15.75" customHeight="1">
      <c r="F283" s="71"/>
      <c r="G283" s="50"/>
      <c r="H283" s="19"/>
      <c r="I283" s="71"/>
    </row>
    <row r="284" ht="15.75" customHeight="1">
      <c r="F284" s="71"/>
      <c r="G284" s="50"/>
      <c r="H284" s="19"/>
      <c r="I284" s="71"/>
    </row>
    <row r="285" ht="15.75" customHeight="1">
      <c r="F285" s="71"/>
      <c r="G285" s="50"/>
      <c r="H285" s="19"/>
      <c r="I285" s="71"/>
    </row>
    <row r="286" ht="15.75" customHeight="1">
      <c r="F286" s="71"/>
      <c r="G286" s="50"/>
      <c r="H286" s="19"/>
      <c r="I286" s="71"/>
    </row>
    <row r="287" ht="15.75" customHeight="1">
      <c r="F287" s="71"/>
      <c r="G287" s="50"/>
      <c r="H287" s="19"/>
      <c r="I287" s="71"/>
    </row>
    <row r="288" ht="15.75" customHeight="1">
      <c r="F288" s="71"/>
      <c r="G288" s="50"/>
      <c r="H288" s="19"/>
      <c r="I288" s="71"/>
    </row>
    <row r="289" ht="15.75" customHeight="1">
      <c r="F289" s="71"/>
      <c r="G289" s="50"/>
      <c r="H289" s="19"/>
      <c r="I289" s="71"/>
    </row>
    <row r="290" ht="15.75" customHeight="1">
      <c r="F290" s="71"/>
      <c r="G290" s="50"/>
      <c r="H290" s="19"/>
      <c r="I290" s="71"/>
    </row>
    <row r="291" ht="15.75" customHeight="1">
      <c r="F291" s="71"/>
      <c r="G291" s="50"/>
      <c r="H291" s="19"/>
      <c r="I291" s="71"/>
    </row>
    <row r="292" ht="15.75" customHeight="1">
      <c r="F292" s="71"/>
      <c r="G292" s="50"/>
      <c r="H292" s="19"/>
      <c r="I292" s="71"/>
    </row>
    <row r="293" ht="15.75" customHeight="1">
      <c r="F293" s="71"/>
      <c r="G293" s="50"/>
      <c r="H293" s="19"/>
      <c r="I293" s="71"/>
    </row>
    <row r="294" ht="15.75" customHeight="1">
      <c r="F294" s="71"/>
      <c r="G294" s="50"/>
      <c r="H294" s="19"/>
      <c r="I294" s="71"/>
    </row>
    <row r="295" ht="15.75" customHeight="1">
      <c r="F295" s="71"/>
      <c r="G295" s="50"/>
      <c r="H295" s="19"/>
      <c r="I295" s="71"/>
    </row>
    <row r="296" ht="15.75" customHeight="1">
      <c r="F296" s="71"/>
      <c r="G296" s="50"/>
      <c r="H296" s="19"/>
      <c r="I296" s="71"/>
    </row>
    <row r="297" ht="15.75" customHeight="1">
      <c r="F297" s="71"/>
      <c r="G297" s="50"/>
      <c r="H297" s="19"/>
      <c r="I297" s="71"/>
    </row>
    <row r="298" ht="15.75" customHeight="1">
      <c r="F298" s="71"/>
      <c r="G298" s="50"/>
      <c r="H298" s="19"/>
      <c r="I298" s="71"/>
    </row>
    <row r="299" ht="15.75" customHeight="1">
      <c r="F299" s="71"/>
      <c r="G299" s="50"/>
      <c r="H299" s="19"/>
      <c r="I299" s="71"/>
    </row>
    <row r="300" ht="15.75" customHeight="1">
      <c r="F300" s="71"/>
      <c r="G300" s="50"/>
      <c r="H300" s="19"/>
      <c r="I300" s="71"/>
    </row>
    <row r="301" ht="15.75" customHeight="1">
      <c r="F301" s="71"/>
      <c r="G301" s="50"/>
      <c r="H301" s="19"/>
      <c r="I301" s="71"/>
    </row>
    <row r="302" ht="15.75" customHeight="1">
      <c r="F302" s="71"/>
      <c r="G302" s="50"/>
      <c r="H302" s="19"/>
      <c r="I302" s="71"/>
    </row>
    <row r="303" ht="15.75" customHeight="1">
      <c r="F303" s="71"/>
      <c r="G303" s="50"/>
      <c r="H303" s="19"/>
      <c r="I303" s="71"/>
    </row>
    <row r="304" ht="15.75" customHeight="1">
      <c r="F304" s="71"/>
      <c r="G304" s="50"/>
      <c r="H304" s="19"/>
      <c r="I304" s="71"/>
    </row>
    <row r="305" ht="15.75" customHeight="1">
      <c r="F305" s="71"/>
      <c r="G305" s="50"/>
      <c r="H305" s="19"/>
      <c r="I305" s="71"/>
    </row>
    <row r="306" ht="15.75" customHeight="1">
      <c r="F306" s="71"/>
      <c r="G306" s="50"/>
      <c r="H306" s="19"/>
      <c r="I306" s="71"/>
    </row>
    <row r="307" ht="15.75" customHeight="1">
      <c r="F307" s="71"/>
      <c r="G307" s="50"/>
      <c r="H307" s="19"/>
      <c r="I307" s="71"/>
    </row>
    <row r="308" ht="15.75" customHeight="1">
      <c r="F308" s="71"/>
      <c r="G308" s="50"/>
      <c r="H308" s="19"/>
      <c r="I308" s="71"/>
    </row>
    <row r="309" ht="15.75" customHeight="1">
      <c r="F309" s="71"/>
      <c r="G309" s="50"/>
      <c r="H309" s="19"/>
      <c r="I309" s="71"/>
    </row>
    <row r="310" ht="15.75" customHeight="1">
      <c r="F310" s="71"/>
      <c r="G310" s="50"/>
      <c r="H310" s="19"/>
      <c r="I310" s="71"/>
    </row>
    <row r="311" ht="15.75" customHeight="1">
      <c r="F311" s="71"/>
      <c r="G311" s="50"/>
      <c r="H311" s="19"/>
      <c r="I311" s="71"/>
    </row>
    <row r="312" ht="15.75" customHeight="1">
      <c r="F312" s="71"/>
      <c r="G312" s="50"/>
      <c r="H312" s="19"/>
      <c r="I312" s="71"/>
    </row>
    <row r="313" ht="15.75" customHeight="1">
      <c r="F313" s="71"/>
      <c r="G313" s="50"/>
      <c r="H313" s="19"/>
      <c r="I313" s="71"/>
    </row>
    <row r="314" ht="15.75" customHeight="1">
      <c r="F314" s="71"/>
      <c r="G314" s="50"/>
      <c r="H314" s="19"/>
      <c r="I314" s="71"/>
    </row>
    <row r="315" ht="15.75" customHeight="1">
      <c r="F315" s="71"/>
      <c r="G315" s="50"/>
      <c r="H315" s="19"/>
      <c r="I315" s="71"/>
    </row>
    <row r="316" ht="15.75" customHeight="1">
      <c r="F316" s="71"/>
      <c r="G316" s="50"/>
      <c r="H316" s="19"/>
      <c r="I316" s="71"/>
    </row>
    <row r="317" ht="15.75" customHeight="1">
      <c r="F317" s="71"/>
      <c r="G317" s="50"/>
      <c r="H317" s="19"/>
      <c r="I317" s="71"/>
    </row>
    <row r="318" ht="15.75" customHeight="1">
      <c r="F318" s="71"/>
      <c r="G318" s="50"/>
      <c r="H318" s="19"/>
      <c r="I318" s="71"/>
    </row>
    <row r="319" ht="15.75" customHeight="1">
      <c r="F319" s="71"/>
      <c r="G319" s="50"/>
      <c r="H319" s="19"/>
      <c r="I319" s="71"/>
    </row>
    <row r="320" ht="15.75" customHeight="1">
      <c r="F320" s="71"/>
      <c r="G320" s="50"/>
      <c r="H320" s="19"/>
      <c r="I320" s="71"/>
    </row>
    <row r="321" ht="15.75" customHeight="1">
      <c r="F321" s="71"/>
      <c r="G321" s="50"/>
      <c r="H321" s="19"/>
      <c r="I321" s="71"/>
    </row>
    <row r="322" ht="15.75" customHeight="1">
      <c r="F322" s="71"/>
      <c r="G322" s="50"/>
      <c r="H322" s="19"/>
      <c r="I322" s="71"/>
    </row>
    <row r="323" ht="15.75" customHeight="1">
      <c r="F323" s="71"/>
      <c r="G323" s="50"/>
      <c r="H323" s="19"/>
      <c r="I323" s="71"/>
    </row>
    <row r="324" ht="15.75" customHeight="1">
      <c r="F324" s="71"/>
      <c r="G324" s="50"/>
      <c r="H324" s="19"/>
      <c r="I324" s="71"/>
    </row>
    <row r="325" ht="15.75" customHeight="1">
      <c r="F325" s="71"/>
      <c r="G325" s="50"/>
      <c r="H325" s="19"/>
      <c r="I325" s="71"/>
    </row>
    <row r="326" ht="15.75" customHeight="1">
      <c r="F326" s="71"/>
      <c r="G326" s="50"/>
      <c r="H326" s="19"/>
      <c r="I326" s="71"/>
    </row>
    <row r="327" ht="15.75" customHeight="1">
      <c r="F327" s="71"/>
      <c r="G327" s="50"/>
      <c r="H327" s="19"/>
      <c r="I327" s="71"/>
    </row>
    <row r="328" ht="15.75" customHeight="1">
      <c r="F328" s="71"/>
      <c r="G328" s="50"/>
      <c r="H328" s="19"/>
      <c r="I328" s="71"/>
    </row>
    <row r="329" ht="15.75" customHeight="1">
      <c r="F329" s="71"/>
      <c r="G329" s="50"/>
      <c r="H329" s="19"/>
      <c r="I329" s="71"/>
    </row>
    <row r="330" ht="15.75" customHeight="1">
      <c r="F330" s="71"/>
      <c r="G330" s="50"/>
      <c r="H330" s="19"/>
      <c r="I330" s="71"/>
    </row>
    <row r="331" ht="15.75" customHeight="1">
      <c r="F331" s="71"/>
      <c r="G331" s="50"/>
      <c r="H331" s="19"/>
      <c r="I331" s="71"/>
    </row>
    <row r="332" ht="15.75" customHeight="1">
      <c r="F332" s="71"/>
      <c r="G332" s="50"/>
      <c r="H332" s="19"/>
      <c r="I332" s="71"/>
    </row>
    <row r="333" ht="15.75" customHeight="1">
      <c r="F333" s="71"/>
      <c r="G333" s="50"/>
      <c r="H333" s="19"/>
      <c r="I333" s="71"/>
    </row>
    <row r="334" ht="15.75" customHeight="1">
      <c r="F334" s="71"/>
      <c r="G334" s="50"/>
      <c r="H334" s="19"/>
      <c r="I334" s="71"/>
    </row>
    <row r="335" ht="15.75" customHeight="1">
      <c r="F335" s="71"/>
      <c r="G335" s="50"/>
      <c r="H335" s="19"/>
      <c r="I335" s="71"/>
    </row>
    <row r="336" ht="15.75" customHeight="1">
      <c r="F336" s="71"/>
      <c r="G336" s="50"/>
      <c r="H336" s="19"/>
      <c r="I336" s="71"/>
    </row>
    <row r="337" ht="15.75" customHeight="1">
      <c r="F337" s="71"/>
      <c r="G337" s="50"/>
      <c r="H337" s="19"/>
      <c r="I337" s="71"/>
    </row>
    <row r="338" ht="15.75" customHeight="1">
      <c r="F338" s="71"/>
      <c r="G338" s="50"/>
      <c r="H338" s="19"/>
      <c r="I338" s="71"/>
    </row>
    <row r="339" ht="15.75" customHeight="1">
      <c r="F339" s="71"/>
      <c r="G339" s="50"/>
      <c r="H339" s="19"/>
      <c r="I339" s="71"/>
    </row>
    <row r="340" ht="15.75" customHeight="1">
      <c r="F340" s="71"/>
      <c r="G340" s="50"/>
      <c r="H340" s="19"/>
      <c r="I340" s="71"/>
    </row>
    <row r="341" ht="15.75" customHeight="1">
      <c r="F341" s="71"/>
      <c r="G341" s="50"/>
      <c r="H341" s="19"/>
      <c r="I341" s="71"/>
    </row>
    <row r="342" ht="15.75" customHeight="1">
      <c r="F342" s="71"/>
      <c r="G342" s="50"/>
      <c r="H342" s="19"/>
      <c r="I342" s="71"/>
    </row>
    <row r="343" ht="15.75" customHeight="1">
      <c r="F343" s="71"/>
      <c r="G343" s="50"/>
      <c r="H343" s="19"/>
      <c r="I343" s="71"/>
    </row>
    <row r="344" ht="15.75" customHeight="1">
      <c r="F344" s="71"/>
      <c r="G344" s="50"/>
      <c r="H344" s="19"/>
      <c r="I344" s="71"/>
    </row>
    <row r="345" ht="15.75" customHeight="1">
      <c r="F345" s="71"/>
      <c r="G345" s="50"/>
      <c r="H345" s="19"/>
      <c r="I345" s="71"/>
    </row>
    <row r="346" ht="15.75" customHeight="1">
      <c r="F346" s="71"/>
      <c r="G346" s="50"/>
      <c r="H346" s="19"/>
      <c r="I346" s="71"/>
    </row>
    <row r="347" ht="15.75" customHeight="1">
      <c r="F347" s="71"/>
      <c r="G347" s="50"/>
      <c r="H347" s="19"/>
      <c r="I347" s="71"/>
    </row>
    <row r="348" ht="15.75" customHeight="1">
      <c r="F348" s="71"/>
      <c r="G348" s="50"/>
      <c r="H348" s="19"/>
      <c r="I348" s="71"/>
    </row>
    <row r="349" ht="15.75" customHeight="1">
      <c r="F349" s="71"/>
      <c r="G349" s="50"/>
      <c r="H349" s="19"/>
      <c r="I349" s="71"/>
    </row>
    <row r="350" ht="15.75" customHeight="1">
      <c r="F350" s="71"/>
      <c r="G350" s="50"/>
      <c r="H350" s="19"/>
      <c r="I350" s="71"/>
    </row>
    <row r="351" ht="15.75" customHeight="1">
      <c r="F351" s="71"/>
      <c r="G351" s="50"/>
      <c r="H351" s="19"/>
      <c r="I351" s="71"/>
    </row>
    <row r="352" ht="15.75" customHeight="1">
      <c r="F352" s="71"/>
      <c r="G352" s="50"/>
      <c r="H352" s="19"/>
      <c r="I352" s="71"/>
    </row>
    <row r="353" ht="15.75" customHeight="1">
      <c r="F353" s="71"/>
      <c r="G353" s="50"/>
      <c r="H353" s="19"/>
      <c r="I353" s="71"/>
    </row>
    <row r="354" ht="15.75" customHeight="1">
      <c r="F354" s="71"/>
      <c r="G354" s="50"/>
      <c r="H354" s="19"/>
      <c r="I354" s="71"/>
    </row>
    <row r="355" ht="15.75" customHeight="1">
      <c r="F355" s="71"/>
      <c r="G355" s="50"/>
      <c r="H355" s="19"/>
      <c r="I355" s="71"/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13"/>
    <col customWidth="1" min="2" max="2" width="33.5"/>
    <col customWidth="1" min="3" max="3" width="18.88"/>
    <col customWidth="1" min="4" max="19" width="14.63"/>
  </cols>
  <sheetData>
    <row r="1" ht="15.0" customHeight="1">
      <c r="A1" s="196" t="s">
        <v>267</v>
      </c>
      <c r="B1" s="196" t="s">
        <v>1</v>
      </c>
      <c r="C1" s="196" t="s">
        <v>61</v>
      </c>
      <c r="D1" s="196" t="s">
        <v>248</v>
      </c>
      <c r="E1" s="196" t="s">
        <v>63</v>
      </c>
      <c r="F1" s="197" t="s">
        <v>249</v>
      </c>
      <c r="G1" s="198" t="s">
        <v>250</v>
      </c>
      <c r="H1" s="199" t="s">
        <v>251</v>
      </c>
      <c r="I1" s="229" t="s">
        <v>252</v>
      </c>
    </row>
    <row r="2" ht="15.0" customHeight="1">
      <c r="A2" s="65" t="s">
        <v>73</v>
      </c>
      <c r="B2" s="65" t="str">
        <f>VLOOKUP(A2, 'Sector Holdings'!B3:C121, 2, FALSE)</f>
        <v>SPDR Consumer Staples ETF</v>
      </c>
      <c r="C2" s="65" t="s">
        <v>74</v>
      </c>
      <c r="D2" s="65" t="s">
        <v>260</v>
      </c>
      <c r="E2" s="68">
        <v>159.0</v>
      </c>
      <c r="F2" s="218">
        <v>72.93</v>
      </c>
      <c r="G2" s="219">
        <v>44949.0</v>
      </c>
      <c r="H2" s="230" t="str">
        <f>IF(OR(D2="Sell to Trim", D2="Sell to Close"),F2/VLOOKUP(A2, 'Sector Holdings'!$B$3:$M$121, 11, FALSE) - 1, "N/A")</f>
        <v>N/A</v>
      </c>
      <c r="I2" s="218">
        <f t="shared" ref="I2:I81" si="1">F2*E2*-1</f>
        <v>-11595.87</v>
      </c>
    </row>
    <row r="3" ht="15.0" customHeight="1">
      <c r="A3" s="65" t="s">
        <v>106</v>
      </c>
      <c r="B3" s="65" t="str">
        <f>VLOOKUP(A3, 'Sector Holdings'!B4:C122, 2, FALSE)</f>
        <v>Arch Capital Group Ltd</v>
      </c>
      <c r="C3" s="65" t="s">
        <v>79</v>
      </c>
      <c r="D3" s="65" t="s">
        <v>261</v>
      </c>
      <c r="E3" s="68">
        <v>-126.0</v>
      </c>
      <c r="F3" s="218">
        <v>62.74</v>
      </c>
      <c r="G3" s="219">
        <v>44949.0</v>
      </c>
      <c r="H3" s="230">
        <f>IF(OR(D3="Sell to Trim", D3="Sell to Close"),F3/VLOOKUP(A3, 'Sector Holdings'!$B$3:$M$121, 11, FALSE) - 1, "N/A")</f>
        <v>0.1378309757</v>
      </c>
      <c r="I3" s="218">
        <f t="shared" si="1"/>
        <v>7905.24</v>
      </c>
    </row>
    <row r="4" ht="15.0" customHeight="1">
      <c r="A4" s="65" t="s">
        <v>481</v>
      </c>
      <c r="B4" s="65" t="s">
        <v>482</v>
      </c>
      <c r="C4" s="65" t="s">
        <v>81</v>
      </c>
      <c r="D4" s="65" t="s">
        <v>253</v>
      </c>
      <c r="E4" s="68">
        <v>-365.0</v>
      </c>
      <c r="F4" s="218">
        <v>113.0</v>
      </c>
      <c r="G4" s="219">
        <v>44949.0</v>
      </c>
      <c r="H4" s="230">
        <v>0.460325665546653</v>
      </c>
      <c r="I4" s="218">
        <f t="shared" si="1"/>
        <v>41245</v>
      </c>
    </row>
    <row r="5" ht="15.0" customHeight="1">
      <c r="A5" s="65" t="s">
        <v>80</v>
      </c>
      <c r="B5" s="65" t="str">
        <f>VLOOKUP(A5, 'Sector Holdings'!$B$4:$C$124, 2, FALSE)</f>
        <v>SPDR Healthcare ETF</v>
      </c>
      <c r="C5" s="65" t="s">
        <v>81</v>
      </c>
      <c r="D5" s="65" t="s">
        <v>260</v>
      </c>
      <c r="E5" s="68">
        <v>204.0</v>
      </c>
      <c r="F5" s="218">
        <v>135.0</v>
      </c>
      <c r="G5" s="219">
        <v>44949.0</v>
      </c>
      <c r="H5" s="230" t="str">
        <f>IF(OR(D5="Sell to Trim", D5="Sell to Close"),F5/VLOOKUP(A5, 'Sector Holdings'!$B$3:$M$121, 11, FALSE) - 1, "N/A")</f>
        <v>N/A</v>
      </c>
      <c r="I5" s="218">
        <f t="shared" si="1"/>
        <v>-27540</v>
      </c>
    </row>
    <row r="6" ht="15.0" customHeight="1">
      <c r="A6" s="65" t="s">
        <v>82</v>
      </c>
      <c r="B6" s="65" t="s">
        <v>209</v>
      </c>
      <c r="C6" s="65" t="s">
        <v>83</v>
      </c>
      <c r="D6" s="65" t="s">
        <v>253</v>
      </c>
      <c r="E6" s="68">
        <v>-378.0</v>
      </c>
      <c r="F6" s="218">
        <v>100.12</v>
      </c>
      <c r="G6" s="219">
        <v>44949.0</v>
      </c>
      <c r="H6" s="230">
        <v>0.007851822025367383</v>
      </c>
      <c r="I6" s="218">
        <f t="shared" si="1"/>
        <v>37845.36</v>
      </c>
    </row>
    <row r="7" ht="15.0" customHeight="1">
      <c r="A7" s="218" t="s">
        <v>118</v>
      </c>
      <c r="B7" s="65" t="str">
        <f>VLOOKUP(A7, 'Sector Holdings'!$B$4:$C$124, 2, FALSE)</f>
        <v>Prologis Inc.</v>
      </c>
      <c r="C7" s="65" t="s">
        <v>85</v>
      </c>
      <c r="D7" s="218" t="s">
        <v>261</v>
      </c>
      <c r="E7" s="65">
        <v>-56.0</v>
      </c>
      <c r="F7" s="218">
        <v>124.71</v>
      </c>
      <c r="G7" s="219">
        <v>44949.0</v>
      </c>
      <c r="H7" s="230">
        <v>0.9404076552046057</v>
      </c>
      <c r="I7" s="218">
        <f t="shared" si="1"/>
        <v>6983.76</v>
      </c>
    </row>
    <row r="8" ht="15.0" customHeight="1">
      <c r="A8" s="218" t="s">
        <v>86</v>
      </c>
      <c r="B8" s="65" t="str">
        <f>VLOOKUP(A8, 'Sector Holdings'!$B$4:$C$124, 2, FALSE)</f>
        <v>SPDR Technology ETF</v>
      </c>
      <c r="C8" s="65" t="s">
        <v>87</v>
      </c>
      <c r="D8" s="218" t="s">
        <v>260</v>
      </c>
      <c r="E8" s="65">
        <v>88.0</v>
      </c>
      <c r="F8" s="218">
        <v>134.28</v>
      </c>
      <c r="G8" s="219">
        <v>44949.0</v>
      </c>
      <c r="H8" s="230" t="str">
        <f>IF(OR(D8="Sell to Trim", D8="Sell to Close"),F8/VLOOKUP(A8, 'Sector Holdings'!$B$3:$M$121, 11, FALSE) - 1, "N/A")</f>
        <v>N/A</v>
      </c>
      <c r="I8" s="218">
        <f t="shared" si="1"/>
        <v>-11816.64</v>
      </c>
    </row>
    <row r="9" ht="15.0" customHeight="1">
      <c r="A9" s="218" t="s">
        <v>90</v>
      </c>
      <c r="B9" s="65" t="str">
        <f>VLOOKUP(A9, 'Sector Holdings'!$B$4:$C$124, 2, FALSE)</f>
        <v>SPDR Utilities ETF</v>
      </c>
      <c r="C9" s="65" t="s">
        <v>91</v>
      </c>
      <c r="D9" s="218" t="s">
        <v>260</v>
      </c>
      <c r="E9" s="65">
        <v>71.0</v>
      </c>
      <c r="F9" s="218">
        <v>69.63</v>
      </c>
      <c r="G9" s="219">
        <v>44949.0</v>
      </c>
      <c r="H9" s="230" t="str">
        <f>IF(OR(D9="Sell to Trim", D9="Sell to Close"),F9/VLOOKUP(A9, 'Sector Holdings'!$B$3:$M$121, 11, FALSE) - 1, "N/A")</f>
        <v>N/A</v>
      </c>
      <c r="I9" s="218">
        <f t="shared" si="1"/>
        <v>-4943.73</v>
      </c>
    </row>
    <row r="10" ht="15.0" customHeight="1">
      <c r="A10" s="218" t="s">
        <v>29</v>
      </c>
      <c r="B10" s="65" t="str">
        <f>VLOOKUP(A10, 'Sector Holdings'!$B$4:$C$124, 2, FALSE)</f>
        <v>iShares Aggregate Bond ETF</v>
      </c>
      <c r="C10" s="65" t="s">
        <v>17</v>
      </c>
      <c r="D10" s="218" t="s">
        <v>260</v>
      </c>
      <c r="E10" s="65">
        <v>98.0</v>
      </c>
      <c r="F10" s="218">
        <v>100.04</v>
      </c>
      <c r="G10" s="219">
        <v>44949.0</v>
      </c>
      <c r="H10" s="230" t="str">
        <f>IF(OR(D10="Sell to Trim", D10="Sell to Close"),F10/VLOOKUP(A10, 'Sector Holdings'!$B$3:$M$121, 11, FALSE) - 1, "N/A")</f>
        <v>N/A</v>
      </c>
      <c r="I10" s="218">
        <f t="shared" si="1"/>
        <v>-9803.92</v>
      </c>
    </row>
    <row r="11" ht="15.0" customHeight="1">
      <c r="A11" s="71" t="s">
        <v>483</v>
      </c>
      <c r="B11" s="71" t="s">
        <v>484</v>
      </c>
      <c r="C11" s="71" t="s">
        <v>69</v>
      </c>
      <c r="D11" s="71" t="s">
        <v>253</v>
      </c>
      <c r="E11" s="23">
        <v>-50.0</v>
      </c>
      <c r="F11" s="71">
        <v>74.9</v>
      </c>
      <c r="G11" s="50">
        <v>44950.0</v>
      </c>
      <c r="H11" s="231">
        <v>-0.06228482003129887</v>
      </c>
      <c r="I11" s="71">
        <f t="shared" si="1"/>
        <v>3745</v>
      </c>
    </row>
    <row r="12" ht="15.0" customHeight="1">
      <c r="A12" s="71" t="s">
        <v>485</v>
      </c>
      <c r="B12" s="71" t="s">
        <v>486</v>
      </c>
      <c r="C12" s="71" t="s">
        <v>69</v>
      </c>
      <c r="D12" s="71" t="s">
        <v>253</v>
      </c>
      <c r="E12" s="23">
        <v>-53.0</v>
      </c>
      <c r="F12" s="71">
        <v>76.75</v>
      </c>
      <c r="G12" s="50">
        <v>44950.0</v>
      </c>
      <c r="H12" s="231">
        <v>0.035692598340193005</v>
      </c>
      <c r="I12" s="71">
        <f t="shared" si="1"/>
        <v>4067.75</v>
      </c>
    </row>
    <row r="13" ht="15.0" customHeight="1">
      <c r="A13" s="71" t="s">
        <v>432</v>
      </c>
      <c r="B13" s="71" t="s">
        <v>487</v>
      </c>
      <c r="C13" s="71" t="s">
        <v>69</v>
      </c>
      <c r="D13" s="71" t="s">
        <v>253</v>
      </c>
      <c r="E13" s="23">
        <v>-247.0</v>
      </c>
      <c r="F13" s="71">
        <v>16.185</v>
      </c>
      <c r="G13" s="50">
        <v>44950.0</v>
      </c>
      <c r="H13" s="231">
        <v>0.034185303514376875</v>
      </c>
      <c r="I13" s="71">
        <f t="shared" si="1"/>
        <v>3997.695</v>
      </c>
    </row>
    <row r="14" ht="15.0" customHeight="1">
      <c r="A14" s="71" t="s">
        <v>233</v>
      </c>
      <c r="B14" s="71" t="s">
        <v>488</v>
      </c>
      <c r="C14" s="71" t="s">
        <v>69</v>
      </c>
      <c r="D14" s="71" t="s">
        <v>253</v>
      </c>
      <c r="E14" s="23">
        <v>-353.0</v>
      </c>
      <c r="F14" s="71">
        <v>11.665</v>
      </c>
      <c r="G14" s="50">
        <v>44950.0</v>
      </c>
      <c r="H14" s="231">
        <v>0.06724611161939609</v>
      </c>
      <c r="I14" s="71">
        <f t="shared" si="1"/>
        <v>4117.745</v>
      </c>
    </row>
    <row r="15" ht="15.0" customHeight="1">
      <c r="A15" s="23" t="s">
        <v>430</v>
      </c>
      <c r="B15" s="71" t="s">
        <v>489</v>
      </c>
      <c r="C15" s="71" t="s">
        <v>69</v>
      </c>
      <c r="D15" s="71" t="s">
        <v>261</v>
      </c>
      <c r="E15" s="23">
        <v>-3.0</v>
      </c>
      <c r="F15" s="71">
        <v>98.94</v>
      </c>
      <c r="G15" s="50">
        <v>44950.0</v>
      </c>
      <c r="H15" s="231">
        <v>0.08154787931788365</v>
      </c>
      <c r="I15" s="71">
        <f t="shared" si="1"/>
        <v>296.82</v>
      </c>
    </row>
    <row r="16" ht="15.0" customHeight="1">
      <c r="A16" s="71" t="s">
        <v>490</v>
      </c>
      <c r="B16" s="18" t="s">
        <v>491</v>
      </c>
      <c r="C16" s="71" t="s">
        <v>69</v>
      </c>
      <c r="D16" s="71" t="s">
        <v>264</v>
      </c>
      <c r="E16" s="23">
        <v>102.0</v>
      </c>
      <c r="F16" s="71">
        <v>38.93</v>
      </c>
      <c r="G16" s="50">
        <v>44950.0</v>
      </c>
      <c r="H16" s="232" t="s">
        <v>278</v>
      </c>
      <c r="I16" s="71">
        <f t="shared" si="1"/>
        <v>-3970.86</v>
      </c>
    </row>
    <row r="17" ht="15.0" customHeight="1">
      <c r="A17" s="71" t="s">
        <v>492</v>
      </c>
      <c r="B17" s="18" t="s">
        <v>493</v>
      </c>
      <c r="C17" s="71" t="s">
        <v>69</v>
      </c>
      <c r="D17" s="71" t="s">
        <v>264</v>
      </c>
      <c r="E17" s="23">
        <v>68.0</v>
      </c>
      <c r="F17" s="71">
        <v>58.11</v>
      </c>
      <c r="G17" s="50">
        <v>44950.0</v>
      </c>
      <c r="H17" s="232" t="s">
        <v>278</v>
      </c>
      <c r="I17" s="71">
        <f t="shared" si="1"/>
        <v>-3951.48</v>
      </c>
    </row>
    <row r="18" ht="15.0" customHeight="1">
      <c r="A18" s="71" t="s">
        <v>494</v>
      </c>
      <c r="B18" s="18" t="s">
        <v>495</v>
      </c>
      <c r="C18" s="71" t="s">
        <v>69</v>
      </c>
      <c r="D18" s="71" t="s">
        <v>264</v>
      </c>
      <c r="E18" s="23">
        <v>21.0</v>
      </c>
      <c r="F18" s="71">
        <v>189.647</v>
      </c>
      <c r="G18" s="50">
        <v>44950.0</v>
      </c>
      <c r="H18" s="232" t="s">
        <v>278</v>
      </c>
      <c r="I18" s="71">
        <f t="shared" si="1"/>
        <v>-3982.587</v>
      </c>
    </row>
    <row r="19" ht="15.0" customHeight="1">
      <c r="A19" s="71" t="s">
        <v>496</v>
      </c>
      <c r="B19" s="18" t="s">
        <v>497</v>
      </c>
      <c r="C19" s="71" t="s">
        <v>69</v>
      </c>
      <c r="D19" s="71" t="s">
        <v>264</v>
      </c>
      <c r="E19" s="23">
        <v>34.0</v>
      </c>
      <c r="F19" s="71">
        <v>116.61</v>
      </c>
      <c r="G19" s="50">
        <v>44950.0</v>
      </c>
      <c r="H19" s="232" t="s">
        <v>278</v>
      </c>
      <c r="I19" s="71">
        <f t="shared" si="1"/>
        <v>-3964.74</v>
      </c>
    </row>
    <row r="20" ht="15.0" customHeight="1">
      <c r="A20" s="218" t="s">
        <v>498</v>
      </c>
      <c r="B20" s="218" t="s">
        <v>499</v>
      </c>
      <c r="C20" s="218" t="s">
        <v>87</v>
      </c>
      <c r="D20" s="218" t="s">
        <v>253</v>
      </c>
      <c r="E20" s="65">
        <v>-1144.0</v>
      </c>
      <c r="F20" s="218">
        <v>23.33</v>
      </c>
      <c r="G20" s="219">
        <v>44953.0</v>
      </c>
      <c r="H20" s="233">
        <v>0.15</v>
      </c>
      <c r="I20" s="218">
        <f t="shared" si="1"/>
        <v>26689.52</v>
      </c>
    </row>
    <row r="21" ht="15.0" customHeight="1">
      <c r="A21" s="218" t="s">
        <v>86</v>
      </c>
      <c r="B21" s="218" t="str">
        <f>VLOOKUP(A21, 'Sector Holdings'!$B$4:$C$124, 2, FALSE)</f>
        <v>SPDR Technology ETF</v>
      </c>
      <c r="C21" s="218" t="s">
        <v>87</v>
      </c>
      <c r="D21" s="218" t="s">
        <v>260</v>
      </c>
      <c r="E21" s="65">
        <v>197.0</v>
      </c>
      <c r="F21" s="218">
        <v>135.76</v>
      </c>
      <c r="G21" s="219">
        <v>44953.0</v>
      </c>
      <c r="H21" s="230" t="str">
        <f>IF(OR(D21="Sell to Trim", D21="Sell to Close"),F21/VLOOKUP(A21, 'Sector Holdings'!$B$3:$M$121, 11, FALSE) - 1, "N/A")</f>
        <v>N/A</v>
      </c>
      <c r="I21" s="218">
        <f t="shared" si="1"/>
        <v>-26744.72</v>
      </c>
    </row>
    <row r="22" ht="15.0" customHeight="1">
      <c r="A22" s="218" t="s">
        <v>365</v>
      </c>
      <c r="B22" s="218" t="s">
        <v>500</v>
      </c>
      <c r="C22" s="218" t="s">
        <v>81</v>
      </c>
      <c r="D22" s="218" t="s">
        <v>253</v>
      </c>
      <c r="E22" s="65">
        <v>-160.0</v>
      </c>
      <c r="F22" s="218">
        <v>253.1</v>
      </c>
      <c r="G22" s="219">
        <v>44953.0</v>
      </c>
      <c r="H22" s="230">
        <v>0.77</v>
      </c>
      <c r="I22" s="218">
        <f t="shared" si="1"/>
        <v>40496</v>
      </c>
    </row>
    <row r="23" ht="15.0" customHeight="1">
      <c r="A23" s="218" t="s">
        <v>80</v>
      </c>
      <c r="B23" s="218" t="str">
        <f>VLOOKUP(A23, 'Sector Holdings'!$B$4:$C$124, 2, FALSE)</f>
        <v>SPDR Healthcare ETF</v>
      </c>
      <c r="C23" s="218" t="s">
        <v>81</v>
      </c>
      <c r="D23" s="218" t="s">
        <v>260</v>
      </c>
      <c r="E23" s="65">
        <v>304.0</v>
      </c>
      <c r="F23" s="218">
        <v>132.99</v>
      </c>
      <c r="G23" s="219">
        <v>44953.0</v>
      </c>
      <c r="H23" s="230" t="str">
        <f>IF(OR(D23="Sell to Trim", D23="Sell to Close"),F23/VLOOKUP(A23, 'Sector Holdings'!$B$3:$M$121, 11, FALSE) - 1, "N/A")</f>
        <v>N/A</v>
      </c>
      <c r="I23" s="218">
        <f t="shared" si="1"/>
        <v>-40428.96</v>
      </c>
    </row>
    <row r="24" ht="15.0" customHeight="1">
      <c r="A24" s="71" t="s">
        <v>501</v>
      </c>
      <c r="B24" s="71" t="s">
        <v>502</v>
      </c>
      <c r="C24" s="71" t="s">
        <v>81</v>
      </c>
      <c r="D24" s="71" t="s">
        <v>253</v>
      </c>
      <c r="E24" s="234">
        <v>-99.0</v>
      </c>
      <c r="F24" s="71">
        <v>114.51</v>
      </c>
      <c r="G24" s="50">
        <v>44960.0</v>
      </c>
      <c r="H24" s="19">
        <v>-0.2852</v>
      </c>
      <c r="I24" s="71">
        <f t="shared" si="1"/>
        <v>11336.49</v>
      </c>
    </row>
    <row r="25" ht="15.0" customHeight="1">
      <c r="A25" s="71" t="s">
        <v>80</v>
      </c>
      <c r="B25" s="71" t="str">
        <f>VLOOKUP(A25, 'Sector Holdings'!$B$4:$C$124, 2, FALSE)</f>
        <v>SPDR Healthcare ETF</v>
      </c>
      <c r="C25" s="71" t="s">
        <v>81</v>
      </c>
      <c r="D25" s="71" t="s">
        <v>260</v>
      </c>
      <c r="E25" s="234">
        <v>85.0</v>
      </c>
      <c r="F25" s="71">
        <v>133.16</v>
      </c>
      <c r="G25" s="50">
        <v>44960.0</v>
      </c>
      <c r="H25" s="235" t="s">
        <v>278</v>
      </c>
      <c r="I25" s="71">
        <f t="shared" si="1"/>
        <v>-11318.6</v>
      </c>
    </row>
    <row r="26" ht="15.0" customHeight="1">
      <c r="A26" s="218" t="s">
        <v>503</v>
      </c>
      <c r="B26" s="218" t="s">
        <v>504</v>
      </c>
      <c r="C26" s="218" t="s">
        <v>74</v>
      </c>
      <c r="D26" s="218" t="s">
        <v>253</v>
      </c>
      <c r="E26" s="236">
        <v>-154.0</v>
      </c>
      <c r="F26" s="218">
        <v>170.7</v>
      </c>
      <c r="G26" s="219">
        <v>44967.0</v>
      </c>
      <c r="H26" s="230">
        <v>0.255</v>
      </c>
      <c r="I26" s="218">
        <f t="shared" si="1"/>
        <v>26287.8</v>
      </c>
    </row>
    <row r="27" ht="15.0" customHeight="1">
      <c r="A27" s="218" t="s">
        <v>73</v>
      </c>
      <c r="B27" s="218" t="str">
        <f>VLOOKUP(A27, 'Sector Holdings'!$B$4:$C$124, 2, FALSE)</f>
        <v>SPDR Consumer Staples ETF</v>
      </c>
      <c r="C27" s="218" t="s">
        <v>74</v>
      </c>
      <c r="D27" s="218" t="s">
        <v>260</v>
      </c>
      <c r="E27" s="236">
        <v>364.0</v>
      </c>
      <c r="F27" s="218">
        <v>72.24</v>
      </c>
      <c r="G27" s="219">
        <v>44967.0</v>
      </c>
      <c r="H27" s="237" t="s">
        <v>278</v>
      </c>
      <c r="I27" s="218">
        <f t="shared" si="1"/>
        <v>-26295.36</v>
      </c>
    </row>
    <row r="28" ht="15.0" customHeight="1">
      <c r="A28" s="218" t="s">
        <v>505</v>
      </c>
      <c r="B28" s="218" t="s">
        <v>506</v>
      </c>
      <c r="C28" s="218" t="s">
        <v>85</v>
      </c>
      <c r="D28" s="218" t="s">
        <v>253</v>
      </c>
      <c r="E28" s="236">
        <v>-745.0</v>
      </c>
      <c r="F28" s="218">
        <v>11.92</v>
      </c>
      <c r="G28" s="219">
        <v>44967.0</v>
      </c>
      <c r="H28" s="230">
        <v>-0.0967</v>
      </c>
      <c r="I28" s="218">
        <f t="shared" si="1"/>
        <v>8880.4</v>
      </c>
    </row>
    <row r="29" ht="15.0" customHeight="1">
      <c r="A29" s="218" t="s">
        <v>84</v>
      </c>
      <c r="B29" s="218" t="str">
        <f>VLOOKUP(A29, 'Sector Holdings'!$B$4:$C$124, 2, FALSE)</f>
        <v>SPDR REITs ETF</v>
      </c>
      <c r="C29" s="218" t="s">
        <v>85</v>
      </c>
      <c r="D29" s="218" t="s">
        <v>264</v>
      </c>
      <c r="E29" s="236">
        <v>223.0</v>
      </c>
      <c r="F29" s="218">
        <v>39.84</v>
      </c>
      <c r="G29" s="219">
        <v>44967.0</v>
      </c>
      <c r="H29" s="237" t="s">
        <v>278</v>
      </c>
      <c r="I29" s="218">
        <f t="shared" si="1"/>
        <v>-8884.32</v>
      </c>
    </row>
    <row r="30" ht="15.0" customHeight="1">
      <c r="A30" s="65" t="s">
        <v>507</v>
      </c>
      <c r="B30" s="218" t="str">
        <f>VLOOKUP(A30, 'Sector Holdings'!$B$4:$C$124, 2, FALSE)</f>
        <v>#N/A</v>
      </c>
      <c r="C30" s="218" t="s">
        <v>17</v>
      </c>
      <c r="D30" s="218" t="s">
        <v>264</v>
      </c>
      <c r="E30" s="236">
        <v>100.0</v>
      </c>
      <c r="F30" s="218">
        <v>977.81</v>
      </c>
      <c r="G30" s="219">
        <v>44967.0</v>
      </c>
      <c r="H30" s="237" t="s">
        <v>278</v>
      </c>
      <c r="I30" s="218">
        <f t="shared" si="1"/>
        <v>-97781</v>
      </c>
    </row>
    <row r="31" ht="15.0" customHeight="1">
      <c r="A31" s="218" t="s">
        <v>29</v>
      </c>
      <c r="B31" s="218" t="str">
        <f>VLOOKUP(A31, 'Sector Holdings'!$B$4:$C$124, 2, FALSE)</f>
        <v>iShares Aggregate Bond ETF</v>
      </c>
      <c r="C31" s="218" t="s">
        <v>17</v>
      </c>
      <c r="D31" s="65" t="s">
        <v>253</v>
      </c>
      <c r="E31" s="65">
        <v>-293.0</v>
      </c>
      <c r="F31" s="218">
        <v>98.44</v>
      </c>
      <c r="G31" s="219">
        <v>44967.0</v>
      </c>
      <c r="H31" s="230">
        <v>-0.0678</v>
      </c>
      <c r="I31" s="218">
        <f t="shared" si="1"/>
        <v>28842.92</v>
      </c>
      <c r="J31" s="19"/>
      <c r="M31" s="51"/>
      <c r="N31" s="22"/>
      <c r="S31" s="50"/>
    </row>
    <row r="32" ht="15.0" customHeight="1">
      <c r="A32" s="71" t="s">
        <v>71</v>
      </c>
      <c r="B32" s="71" t="s">
        <v>161</v>
      </c>
      <c r="C32" s="71" t="s">
        <v>72</v>
      </c>
      <c r="D32" s="71" t="s">
        <v>253</v>
      </c>
      <c r="E32" s="23">
        <v>-41.0</v>
      </c>
      <c r="F32" s="71">
        <v>146.39</v>
      </c>
      <c r="G32" s="50">
        <v>44979.0</v>
      </c>
      <c r="H32" s="238">
        <v>-0.19</v>
      </c>
      <c r="I32" s="71">
        <f t="shared" si="1"/>
        <v>6001.99</v>
      </c>
    </row>
    <row r="33" ht="15.0" customHeight="1">
      <c r="A33" s="71" t="s">
        <v>92</v>
      </c>
      <c r="B33" s="71" t="s">
        <v>508</v>
      </c>
      <c r="C33" s="71" t="s">
        <v>72</v>
      </c>
      <c r="D33" s="71" t="s">
        <v>260</v>
      </c>
      <c r="E33" s="23">
        <v>62.0</v>
      </c>
      <c r="F33" s="71">
        <v>96.21</v>
      </c>
      <c r="G33" s="50">
        <v>44979.0</v>
      </c>
      <c r="H33" s="235" t="s">
        <v>278</v>
      </c>
      <c r="I33" s="71">
        <f t="shared" si="1"/>
        <v>-5965.02</v>
      </c>
    </row>
    <row r="34" ht="15.0" customHeight="1">
      <c r="A34" s="71" t="s">
        <v>133</v>
      </c>
      <c r="B34" s="71" t="s">
        <v>226</v>
      </c>
      <c r="C34" s="71" t="s">
        <v>91</v>
      </c>
      <c r="D34" s="71" t="s">
        <v>261</v>
      </c>
      <c r="E34" s="23">
        <v>-109.0</v>
      </c>
      <c r="F34" s="71">
        <v>73.79</v>
      </c>
      <c r="G34" s="50">
        <v>44979.0</v>
      </c>
      <c r="H34" s="238">
        <v>0.81</v>
      </c>
      <c r="I34" s="71">
        <f t="shared" si="1"/>
        <v>8043.11</v>
      </c>
    </row>
    <row r="35" ht="15.0" customHeight="1">
      <c r="A35" s="71" t="s">
        <v>90</v>
      </c>
      <c r="B35" s="71" t="s">
        <v>230</v>
      </c>
      <c r="C35" s="71" t="s">
        <v>91</v>
      </c>
      <c r="D35" s="71" t="s">
        <v>260</v>
      </c>
      <c r="E35" s="23">
        <v>120.0</v>
      </c>
      <c r="F35" s="71">
        <v>67.17</v>
      </c>
      <c r="G35" s="50">
        <v>44979.0</v>
      </c>
      <c r="H35" s="235" t="s">
        <v>278</v>
      </c>
      <c r="I35" s="71">
        <f t="shared" si="1"/>
        <v>-8060.4</v>
      </c>
    </row>
    <row r="36" ht="15.0" customHeight="1">
      <c r="A36" s="71" t="s">
        <v>509</v>
      </c>
      <c r="B36" s="71" t="s">
        <v>510</v>
      </c>
      <c r="C36" s="71" t="s">
        <v>87</v>
      </c>
      <c r="D36" s="71" t="s">
        <v>253</v>
      </c>
      <c r="E36" s="23">
        <v>-216.0</v>
      </c>
      <c r="F36" s="71">
        <v>75.98</v>
      </c>
      <c r="G36" s="50">
        <v>44979.0</v>
      </c>
      <c r="H36" s="231">
        <v>-0.4674</v>
      </c>
      <c r="I36" s="71">
        <f t="shared" si="1"/>
        <v>16411.68</v>
      </c>
    </row>
    <row r="37" ht="15.0" customHeight="1">
      <c r="A37" s="71" t="s">
        <v>86</v>
      </c>
      <c r="B37" s="71" t="s">
        <v>221</v>
      </c>
      <c r="C37" s="71" t="s">
        <v>87</v>
      </c>
      <c r="D37" s="71" t="s">
        <v>260</v>
      </c>
      <c r="E37" s="23">
        <v>119.0</v>
      </c>
      <c r="F37" s="71">
        <v>136.98</v>
      </c>
      <c r="G37" s="50">
        <v>44979.0</v>
      </c>
      <c r="H37" s="235" t="s">
        <v>278</v>
      </c>
      <c r="I37" s="71">
        <f t="shared" si="1"/>
        <v>-16300.62</v>
      </c>
    </row>
    <row r="38" ht="15.0" customHeight="1">
      <c r="A38" s="71" t="s">
        <v>88</v>
      </c>
      <c r="B38" s="71" t="s">
        <v>225</v>
      </c>
      <c r="C38" s="71" t="s">
        <v>89</v>
      </c>
      <c r="D38" s="71" t="s">
        <v>253</v>
      </c>
      <c r="E38" s="23">
        <v>-502.0</v>
      </c>
      <c r="F38" s="71">
        <v>54.32</v>
      </c>
      <c r="G38" s="50">
        <v>44979.0</v>
      </c>
      <c r="H38" s="231">
        <v>-0.2135</v>
      </c>
      <c r="I38" s="71">
        <f t="shared" si="1"/>
        <v>27268.64</v>
      </c>
    </row>
    <row r="39" ht="15.0" customHeight="1">
      <c r="A39" s="71" t="s">
        <v>424</v>
      </c>
      <c r="B39" s="71" t="s">
        <v>511</v>
      </c>
      <c r="C39" s="71" t="s">
        <v>89</v>
      </c>
      <c r="D39" s="71" t="s">
        <v>260</v>
      </c>
      <c r="E39" s="23">
        <v>1800.0</v>
      </c>
      <c r="F39" s="71">
        <v>15.18</v>
      </c>
      <c r="G39" s="50">
        <v>44979.0</v>
      </c>
      <c r="H39" s="235" t="s">
        <v>278</v>
      </c>
      <c r="I39" s="71">
        <f t="shared" si="1"/>
        <v>-27324</v>
      </c>
    </row>
    <row r="40" ht="15.0" customHeight="1">
      <c r="A40" s="218" t="s">
        <v>512</v>
      </c>
      <c r="B40" s="218" t="s">
        <v>513</v>
      </c>
      <c r="C40" s="218" t="s">
        <v>17</v>
      </c>
      <c r="D40" s="218" t="s">
        <v>253</v>
      </c>
      <c r="E40" s="65">
        <v>-1433.0</v>
      </c>
      <c r="F40" s="218">
        <v>22.12</v>
      </c>
      <c r="G40" s="219">
        <v>44981.0</v>
      </c>
      <c r="H40" s="233">
        <v>-0.11</v>
      </c>
      <c r="I40" s="218">
        <f t="shared" si="1"/>
        <v>31697.96</v>
      </c>
    </row>
    <row r="41" ht="15.0" customHeight="1">
      <c r="A41" s="218" t="s">
        <v>514</v>
      </c>
      <c r="B41" s="218" t="s">
        <v>515</v>
      </c>
      <c r="C41" s="218" t="s">
        <v>17</v>
      </c>
      <c r="D41" s="218" t="s">
        <v>253</v>
      </c>
      <c r="E41" s="65">
        <v>-25.0</v>
      </c>
      <c r="F41" s="218">
        <v>930.28</v>
      </c>
      <c r="G41" s="219">
        <v>44981.0</v>
      </c>
      <c r="H41" s="233" t="s">
        <v>278</v>
      </c>
      <c r="I41" s="218">
        <f t="shared" si="1"/>
        <v>23257</v>
      </c>
    </row>
    <row r="42" ht="15.0" customHeight="1">
      <c r="A42" s="71" t="s">
        <v>492</v>
      </c>
      <c r="B42" s="71" t="s">
        <v>493</v>
      </c>
      <c r="C42" s="71" t="s">
        <v>69</v>
      </c>
      <c r="D42" s="71" t="s">
        <v>253</v>
      </c>
      <c r="E42" s="23">
        <v>-68.0</v>
      </c>
      <c r="F42" s="71">
        <v>56.96</v>
      </c>
      <c r="G42" s="50">
        <v>44984.0</v>
      </c>
      <c r="H42" s="231">
        <v>-0.019790053347100267</v>
      </c>
      <c r="I42" s="71">
        <f t="shared" si="1"/>
        <v>3873.28</v>
      </c>
    </row>
    <row r="43" ht="15.0" customHeight="1">
      <c r="A43" s="71" t="s">
        <v>430</v>
      </c>
      <c r="B43" s="71" t="s">
        <v>489</v>
      </c>
      <c r="C43" s="71" t="s">
        <v>69</v>
      </c>
      <c r="D43" s="71" t="s">
        <v>253</v>
      </c>
      <c r="E43" s="23">
        <v>-40.0</v>
      </c>
      <c r="F43" s="71">
        <v>95.93</v>
      </c>
      <c r="G43" s="50">
        <v>44984.0</v>
      </c>
      <c r="H43" s="231">
        <v>0.048644512461740286</v>
      </c>
      <c r="I43" s="71">
        <f t="shared" si="1"/>
        <v>3837.2</v>
      </c>
    </row>
    <row r="44" ht="15.0" customHeight="1">
      <c r="A44" s="71" t="s">
        <v>496</v>
      </c>
      <c r="B44" s="71" t="s">
        <v>497</v>
      </c>
      <c r="C44" s="71" t="s">
        <v>69</v>
      </c>
      <c r="D44" s="71" t="s">
        <v>253</v>
      </c>
      <c r="E44" s="23">
        <v>-34.0</v>
      </c>
      <c r="F44" s="71">
        <v>103.43</v>
      </c>
      <c r="G44" s="50">
        <v>44984.0</v>
      </c>
      <c r="H44" s="231">
        <v>-0.11302632707314975</v>
      </c>
      <c r="I44" s="71">
        <f t="shared" si="1"/>
        <v>3516.62</v>
      </c>
    </row>
    <row r="45" ht="15.0" customHeight="1">
      <c r="A45" s="71" t="s">
        <v>490</v>
      </c>
      <c r="B45" s="71" t="s">
        <v>491</v>
      </c>
      <c r="C45" s="71" t="s">
        <v>69</v>
      </c>
      <c r="D45" s="71" t="s">
        <v>253</v>
      </c>
      <c r="E45" s="23">
        <v>-102.0</v>
      </c>
      <c r="F45" s="71">
        <v>38.01</v>
      </c>
      <c r="G45" s="50">
        <v>44984.0</v>
      </c>
      <c r="H45" s="231">
        <v>-0.02363216028769588</v>
      </c>
      <c r="I45" s="71">
        <f t="shared" si="1"/>
        <v>3877.02</v>
      </c>
    </row>
    <row r="46" ht="15.0" customHeight="1">
      <c r="A46" s="71" t="s">
        <v>494</v>
      </c>
      <c r="B46" s="71" t="s">
        <v>495</v>
      </c>
      <c r="C46" s="71" t="s">
        <v>69</v>
      </c>
      <c r="D46" s="71" t="s">
        <v>261</v>
      </c>
      <c r="E46" s="23">
        <v>-1.0</v>
      </c>
      <c r="F46" s="71">
        <v>204.2</v>
      </c>
      <c r="G46" s="50">
        <v>44984.0</v>
      </c>
      <c r="H46" s="231">
        <v>0.0767373066803061</v>
      </c>
      <c r="I46" s="71">
        <f t="shared" si="1"/>
        <v>204.2</v>
      </c>
    </row>
    <row r="47" ht="15.0" customHeight="1">
      <c r="A47" s="71" t="s">
        <v>374</v>
      </c>
      <c r="B47" s="71" t="s">
        <v>375</v>
      </c>
      <c r="C47" s="71" t="s">
        <v>69</v>
      </c>
      <c r="D47" s="71" t="s">
        <v>264</v>
      </c>
      <c r="E47" s="23">
        <v>112.0</v>
      </c>
      <c r="F47" s="71">
        <v>35.67</v>
      </c>
      <c r="G47" s="50">
        <v>44984.0</v>
      </c>
      <c r="H47" s="231" t="str">
        <f>IF(OR(D47="Sell to Trim", D47="Sell to Close"),F47/VLOOKUP(A47, 'Sector Holdings'!$B$3:$M$121, 11, FALSE) - 1, "N/A")</f>
        <v>N/A</v>
      </c>
      <c r="I47" s="71">
        <f t="shared" si="1"/>
        <v>-3995.04</v>
      </c>
    </row>
    <row r="48" ht="15.0" customHeight="1">
      <c r="A48" s="71" t="s">
        <v>297</v>
      </c>
      <c r="B48" s="71" t="s">
        <v>298</v>
      </c>
      <c r="C48" s="71" t="s">
        <v>69</v>
      </c>
      <c r="D48" s="71" t="s">
        <v>264</v>
      </c>
      <c r="E48" s="23">
        <v>76.0</v>
      </c>
      <c r="F48" s="71">
        <v>52.8</v>
      </c>
      <c r="G48" s="50">
        <v>44984.0</v>
      </c>
      <c r="H48" s="231" t="str">
        <f>IF(OR(D48="Sell to Trim", D48="Sell to Close"),F48/VLOOKUP(A48, 'Sector Holdings'!$B$3:$M$121, 11, FALSE) - 1, "N/A")</f>
        <v>N/A</v>
      </c>
      <c r="I48" s="71">
        <f t="shared" si="1"/>
        <v>-4012.8</v>
      </c>
    </row>
    <row r="49" ht="15.0" customHeight="1">
      <c r="A49" s="71" t="s">
        <v>302</v>
      </c>
      <c r="B49" s="71" t="s">
        <v>303</v>
      </c>
      <c r="C49" s="71" t="s">
        <v>69</v>
      </c>
      <c r="D49" s="71" t="s">
        <v>264</v>
      </c>
      <c r="E49" s="23">
        <v>33.0</v>
      </c>
      <c r="F49" s="71">
        <v>122.02</v>
      </c>
      <c r="G49" s="50">
        <v>44984.0</v>
      </c>
      <c r="H49" s="231" t="str">
        <f>IF(OR(D49="Sell to Trim", D49="Sell to Close"),F49/VLOOKUP(A49, 'Sector Holdings'!$B$3:$M$121, 11, FALSE) - 1, "N/A")</f>
        <v>N/A</v>
      </c>
      <c r="I49" s="71">
        <f t="shared" si="1"/>
        <v>-4026.66</v>
      </c>
    </row>
    <row r="50" ht="15.75" customHeight="1">
      <c r="A50" s="71" t="s">
        <v>269</v>
      </c>
      <c r="B50" s="71" t="s">
        <v>516</v>
      </c>
      <c r="C50" s="71" t="s">
        <v>69</v>
      </c>
      <c r="D50" s="71" t="s">
        <v>264</v>
      </c>
      <c r="E50" s="23">
        <v>102.0</v>
      </c>
      <c r="F50" s="71">
        <v>39.34</v>
      </c>
      <c r="G50" s="50">
        <v>44984.0</v>
      </c>
      <c r="H50" s="231" t="str">
        <f>IF(OR(D50="Sell to Trim", D50="Sell to Close"),F50/VLOOKUP(A50, 'Sector Holdings'!$B$3:$M$121, 11, FALSE) - 1, "N/A")</f>
        <v>N/A</v>
      </c>
      <c r="I50" s="71">
        <f t="shared" si="1"/>
        <v>-4012.68</v>
      </c>
    </row>
    <row r="51" ht="15.75" customHeight="1">
      <c r="A51" s="218" t="s">
        <v>86</v>
      </c>
      <c r="B51" s="218" t="str">
        <f>VLOOKUP(A51, 'Sector Holdings'!$B$4:$C$124, 2, FALSE)</f>
        <v>SPDR Technology ETF</v>
      </c>
      <c r="C51" s="218" t="s">
        <v>87</v>
      </c>
      <c r="D51" s="218" t="s">
        <v>261</v>
      </c>
      <c r="E51" s="65">
        <v>-212.0</v>
      </c>
      <c r="F51" s="218">
        <v>142.58</v>
      </c>
      <c r="G51" s="219">
        <v>44991.0</v>
      </c>
      <c r="H51" s="230">
        <v>0.002</v>
      </c>
      <c r="I51" s="218">
        <f t="shared" si="1"/>
        <v>30226.96</v>
      </c>
    </row>
    <row r="52" ht="15.75" customHeight="1">
      <c r="A52" s="218" t="s">
        <v>128</v>
      </c>
      <c r="B52" s="218" t="s">
        <v>217</v>
      </c>
      <c r="C52" s="218" t="s">
        <v>87</v>
      </c>
      <c r="D52" s="218" t="s">
        <v>264</v>
      </c>
      <c r="E52" s="65">
        <v>18.0</v>
      </c>
      <c r="F52" s="218">
        <v>1671.87</v>
      </c>
      <c r="G52" s="219">
        <v>44991.0</v>
      </c>
      <c r="H52" s="237" t="s">
        <v>278</v>
      </c>
      <c r="I52" s="218">
        <f t="shared" si="1"/>
        <v>-30093.66</v>
      </c>
    </row>
    <row r="53" ht="15.75" customHeight="1">
      <c r="A53" s="218" t="s">
        <v>80</v>
      </c>
      <c r="B53" s="218" t="str">
        <f>VLOOKUP(A53, 'Sector Holdings'!$B$4:$C$124, 2, FALSE)</f>
        <v>SPDR Healthcare ETF</v>
      </c>
      <c r="C53" s="218" t="s">
        <v>81</v>
      </c>
      <c r="D53" s="218" t="s">
        <v>261</v>
      </c>
      <c r="E53" s="65">
        <v>-230.0</v>
      </c>
      <c r="F53" s="218">
        <v>129.4</v>
      </c>
      <c r="G53" s="219">
        <v>44991.0</v>
      </c>
      <c r="H53" s="230">
        <v>-0.032</v>
      </c>
      <c r="I53" s="218">
        <f t="shared" si="1"/>
        <v>29762</v>
      </c>
    </row>
    <row r="54" ht="15.75" customHeight="1">
      <c r="A54" s="218" t="s">
        <v>112</v>
      </c>
      <c r="B54" s="218" t="str">
        <f>VLOOKUP(A54, 'Sector Holdings'!$B$4:$C$124, 2, FALSE)</f>
        <v>Veeva Systems Inc.</v>
      </c>
      <c r="C54" s="218" t="s">
        <v>81</v>
      </c>
      <c r="D54" s="218" t="s">
        <v>264</v>
      </c>
      <c r="E54" s="65">
        <v>165.0</v>
      </c>
      <c r="F54" s="218">
        <v>181.05</v>
      </c>
      <c r="G54" s="219">
        <v>44991.0</v>
      </c>
      <c r="H54" s="239" t="s">
        <v>278</v>
      </c>
      <c r="I54" s="218">
        <f t="shared" si="1"/>
        <v>-29873.25</v>
      </c>
    </row>
    <row r="55" ht="15.75" customHeight="1">
      <c r="A55" s="218" t="s">
        <v>517</v>
      </c>
      <c r="B55" s="218" t="s">
        <v>518</v>
      </c>
      <c r="C55" s="218" t="s">
        <v>77</v>
      </c>
      <c r="D55" s="218" t="s">
        <v>253</v>
      </c>
      <c r="E55" s="65">
        <v>-897.0</v>
      </c>
      <c r="F55" s="218">
        <v>20.06</v>
      </c>
      <c r="G55" s="219">
        <v>44991.0</v>
      </c>
      <c r="H55" s="230">
        <v>0.006</v>
      </c>
      <c r="I55" s="218">
        <f t="shared" si="1"/>
        <v>17993.82</v>
      </c>
    </row>
    <row r="56" ht="15.75" customHeight="1">
      <c r="A56" s="65" t="s">
        <v>76</v>
      </c>
      <c r="B56" s="218" t="str">
        <f>VLOOKUP(A56, 'Sector Holdings'!$B$4:$C$124, 2, FALSE)</f>
        <v>SPDR Energy ETF</v>
      </c>
      <c r="C56" s="65" t="s">
        <v>77</v>
      </c>
      <c r="D56" s="65" t="s">
        <v>260</v>
      </c>
      <c r="E56" s="65">
        <v>206.0</v>
      </c>
      <c r="F56" s="218">
        <v>86.77</v>
      </c>
      <c r="G56" s="219">
        <v>44991.0</v>
      </c>
      <c r="H56" s="239" t="s">
        <v>278</v>
      </c>
      <c r="I56" s="218">
        <f t="shared" si="1"/>
        <v>-17874.62</v>
      </c>
    </row>
    <row r="57" ht="15.75" customHeight="1">
      <c r="A57" s="23" t="s">
        <v>519</v>
      </c>
      <c r="B57" s="23" t="s">
        <v>520</v>
      </c>
      <c r="C57" s="23" t="s">
        <v>79</v>
      </c>
      <c r="D57" s="23" t="s">
        <v>253</v>
      </c>
      <c r="E57" s="23">
        <v>-635.0</v>
      </c>
      <c r="F57" s="71">
        <v>36.96</v>
      </c>
      <c r="G57" s="50">
        <v>44998.0</v>
      </c>
      <c r="H57" s="231">
        <v>-0.256</v>
      </c>
      <c r="I57" s="71">
        <f t="shared" si="1"/>
        <v>23469.6</v>
      </c>
    </row>
    <row r="58" ht="15.75" customHeight="1">
      <c r="A58" s="65" t="s">
        <v>80</v>
      </c>
      <c r="B58" s="218" t="str">
        <f>VLOOKUP(A58, 'Sector Holdings'!$B$4:$C$124, 2, FALSE)</f>
        <v>SPDR Healthcare ETF</v>
      </c>
      <c r="C58" s="65" t="s">
        <v>81</v>
      </c>
      <c r="D58" s="65" t="s">
        <v>261</v>
      </c>
      <c r="E58" s="65">
        <v>-229.0</v>
      </c>
      <c r="F58" s="218">
        <v>127.41</v>
      </c>
      <c r="G58" s="219">
        <v>45002.0</v>
      </c>
      <c r="H58" s="230">
        <v>-0.046</v>
      </c>
      <c r="I58" s="218">
        <f t="shared" si="1"/>
        <v>29176.89</v>
      </c>
    </row>
    <row r="59" ht="15.75" customHeight="1">
      <c r="A59" s="65" t="s">
        <v>113</v>
      </c>
      <c r="B59" s="218" t="str">
        <f>VLOOKUP(A59, 'Sector Holdings'!$B$4:$C$124, 2, FALSE)</f>
        <v>#N/A</v>
      </c>
      <c r="C59" s="65" t="s">
        <v>81</v>
      </c>
      <c r="D59" s="65" t="s">
        <v>264</v>
      </c>
      <c r="E59" s="65">
        <v>949.0</v>
      </c>
      <c r="F59" s="218">
        <v>30.84</v>
      </c>
      <c r="G59" s="219">
        <v>45002.0</v>
      </c>
      <c r="H59" s="239" t="s">
        <v>278</v>
      </c>
      <c r="I59" s="218">
        <f t="shared" si="1"/>
        <v>-29267.16</v>
      </c>
    </row>
    <row r="60" ht="15.75" customHeight="1">
      <c r="A60" s="65" t="s">
        <v>84</v>
      </c>
      <c r="B60" s="218" t="s">
        <v>521</v>
      </c>
      <c r="C60" s="65" t="s">
        <v>85</v>
      </c>
      <c r="D60" s="65" t="s">
        <v>253</v>
      </c>
      <c r="E60" s="65">
        <v>-223.0</v>
      </c>
      <c r="F60" s="218">
        <v>36.96</v>
      </c>
      <c r="G60" s="219">
        <v>45002.0</v>
      </c>
      <c r="H60" s="230">
        <v>-0.0693</v>
      </c>
      <c r="I60" s="218">
        <f t="shared" si="1"/>
        <v>8242.08</v>
      </c>
    </row>
    <row r="61" ht="15.75" customHeight="1">
      <c r="A61" s="65" t="s">
        <v>121</v>
      </c>
      <c r="B61" s="218" t="str">
        <f>VLOOKUP(A61, 'Sector Holdings'!$B$4:$C$124, 2, FALSE)</f>
        <v>#N/A</v>
      </c>
      <c r="C61" s="65" t="s">
        <v>85</v>
      </c>
      <c r="D61" s="65" t="s">
        <v>264</v>
      </c>
      <c r="E61" s="65">
        <v>40.0</v>
      </c>
      <c r="F61" s="218">
        <v>205.5</v>
      </c>
      <c r="G61" s="219">
        <v>45002.0</v>
      </c>
      <c r="H61" s="239" t="s">
        <v>278</v>
      </c>
      <c r="I61" s="218">
        <f t="shared" si="1"/>
        <v>-8220</v>
      </c>
    </row>
    <row r="62" ht="15.75" customHeight="1">
      <c r="A62" s="23" t="s">
        <v>494</v>
      </c>
      <c r="B62" s="23" t="s">
        <v>495</v>
      </c>
      <c r="C62" s="23" t="s">
        <v>69</v>
      </c>
      <c r="D62" s="23" t="s">
        <v>253</v>
      </c>
      <c r="E62" s="23">
        <v>20.0</v>
      </c>
      <c r="F62" s="71">
        <v>220.05</v>
      </c>
      <c r="G62" s="50">
        <v>45013.0</v>
      </c>
      <c r="H62" s="231">
        <v>0.0243</v>
      </c>
      <c r="I62" s="71">
        <f t="shared" si="1"/>
        <v>-4401</v>
      </c>
    </row>
    <row r="63" ht="15.75" customHeight="1">
      <c r="A63" s="23" t="s">
        <v>297</v>
      </c>
      <c r="B63" s="23" t="s">
        <v>298</v>
      </c>
      <c r="C63" s="23" t="s">
        <v>69</v>
      </c>
      <c r="D63" s="23" t="s">
        <v>253</v>
      </c>
      <c r="E63" s="23">
        <v>76.0</v>
      </c>
      <c r="F63" s="71">
        <v>44.33</v>
      </c>
      <c r="G63" s="50">
        <v>45013.0</v>
      </c>
      <c r="H63" s="231">
        <v>-0.1604</v>
      </c>
      <c r="I63" s="71">
        <f t="shared" si="1"/>
        <v>-3369.08</v>
      </c>
    </row>
    <row r="64" ht="15.75" customHeight="1">
      <c r="A64" s="23" t="s">
        <v>302</v>
      </c>
      <c r="B64" s="23" t="s">
        <v>303</v>
      </c>
      <c r="C64" s="23" t="s">
        <v>69</v>
      </c>
      <c r="D64" s="23" t="s">
        <v>253</v>
      </c>
      <c r="E64" s="23">
        <v>33.0</v>
      </c>
      <c r="F64" s="71">
        <v>109.71</v>
      </c>
      <c r="G64" s="50">
        <v>45013.0</v>
      </c>
      <c r="H64" s="231">
        <v>-0.1316</v>
      </c>
      <c r="I64" s="71">
        <f t="shared" si="1"/>
        <v>-3620.43</v>
      </c>
    </row>
    <row r="65" ht="15.75" customHeight="1">
      <c r="A65" s="23" t="s">
        <v>269</v>
      </c>
      <c r="B65" s="23" t="s">
        <v>516</v>
      </c>
      <c r="C65" s="23" t="s">
        <v>69</v>
      </c>
      <c r="D65" s="23" t="s">
        <v>253</v>
      </c>
      <c r="E65" s="23">
        <v>102.0</v>
      </c>
      <c r="F65" s="71">
        <v>34.17</v>
      </c>
      <c r="G65" s="50">
        <v>45013.0</v>
      </c>
      <c r="I65" s="71">
        <f t="shared" si="1"/>
        <v>-3485.34</v>
      </c>
    </row>
    <row r="66" ht="15.75" customHeight="1">
      <c r="A66" s="23" t="s">
        <v>374</v>
      </c>
      <c r="B66" s="23" t="s">
        <v>375</v>
      </c>
      <c r="C66" s="23" t="s">
        <v>69</v>
      </c>
      <c r="D66" s="23" t="s">
        <v>260</v>
      </c>
      <c r="E66" s="23">
        <v>6.0</v>
      </c>
      <c r="F66" s="71">
        <v>32.83</v>
      </c>
      <c r="G66" s="50">
        <v>45013.0</v>
      </c>
      <c r="H66" s="240" t="s">
        <v>278</v>
      </c>
      <c r="I66" s="71">
        <f t="shared" si="1"/>
        <v>-196.98</v>
      </c>
    </row>
    <row r="67" ht="15.75" customHeight="1">
      <c r="A67" s="23" t="s">
        <v>430</v>
      </c>
      <c r="B67" s="23" t="s">
        <v>489</v>
      </c>
      <c r="C67" s="23" t="s">
        <v>69</v>
      </c>
      <c r="D67" s="23" t="s">
        <v>264</v>
      </c>
      <c r="E67" s="23">
        <v>38.0</v>
      </c>
      <c r="F67" s="71">
        <v>101.48</v>
      </c>
      <c r="G67" s="50">
        <v>45013.0</v>
      </c>
      <c r="H67" s="240" t="s">
        <v>278</v>
      </c>
      <c r="I67" s="71">
        <f t="shared" si="1"/>
        <v>-3856.24</v>
      </c>
    </row>
    <row r="68" ht="15.75" customHeight="1">
      <c r="A68" s="23" t="s">
        <v>138</v>
      </c>
      <c r="B68" s="23" t="s">
        <v>522</v>
      </c>
      <c r="C68" s="23" t="s">
        <v>69</v>
      </c>
      <c r="D68" s="23" t="s">
        <v>264</v>
      </c>
      <c r="E68" s="23">
        <v>30.0</v>
      </c>
      <c r="F68" s="71">
        <v>131.15</v>
      </c>
      <c r="G68" s="50">
        <v>45013.0</v>
      </c>
      <c r="H68" s="240" t="s">
        <v>278</v>
      </c>
      <c r="I68" s="71">
        <f t="shared" si="1"/>
        <v>-3934.5</v>
      </c>
    </row>
    <row r="69" ht="15.75" customHeight="1">
      <c r="A69" s="23" t="s">
        <v>434</v>
      </c>
      <c r="B69" s="23" t="s">
        <v>435</v>
      </c>
      <c r="C69" s="23" t="s">
        <v>69</v>
      </c>
      <c r="D69" s="23" t="s">
        <v>264</v>
      </c>
      <c r="E69" s="23">
        <v>40.0</v>
      </c>
      <c r="F69" s="71">
        <v>96.71</v>
      </c>
      <c r="G69" s="50">
        <v>45013.0</v>
      </c>
      <c r="H69" s="240" t="s">
        <v>278</v>
      </c>
      <c r="I69" s="71">
        <f t="shared" si="1"/>
        <v>-3868.4</v>
      </c>
    </row>
    <row r="70" ht="15.75" customHeight="1">
      <c r="A70" s="23" t="s">
        <v>432</v>
      </c>
      <c r="B70" s="23" t="s">
        <v>487</v>
      </c>
      <c r="C70" s="23" t="s">
        <v>69</v>
      </c>
      <c r="D70" s="23" t="s">
        <v>264</v>
      </c>
      <c r="E70" s="23">
        <v>259.0</v>
      </c>
      <c r="F70" s="71">
        <v>14.94</v>
      </c>
      <c r="G70" s="50">
        <v>45013.0</v>
      </c>
      <c r="H70" s="240" t="s">
        <v>278</v>
      </c>
      <c r="I70" s="71">
        <f t="shared" si="1"/>
        <v>-3869.46</v>
      </c>
    </row>
    <row r="71" ht="15.75" customHeight="1">
      <c r="A71" s="65" t="s">
        <v>436</v>
      </c>
      <c r="B71" s="218" t="s">
        <v>437</v>
      </c>
      <c r="C71" s="65" t="s">
        <v>69</v>
      </c>
      <c r="D71" s="65" t="s">
        <v>264</v>
      </c>
      <c r="E71" s="236">
        <v>37.0</v>
      </c>
      <c r="F71" s="218">
        <v>54.288</v>
      </c>
      <c r="G71" s="219">
        <v>45022.0</v>
      </c>
      <c r="H71" s="239" t="s">
        <v>278</v>
      </c>
      <c r="I71" s="218">
        <f t="shared" si="1"/>
        <v>-2008.656</v>
      </c>
    </row>
    <row r="72" ht="15.75" customHeight="1">
      <c r="A72" s="65" t="s">
        <v>438</v>
      </c>
      <c r="B72" s="218" t="s">
        <v>439</v>
      </c>
      <c r="C72" s="65" t="s">
        <v>69</v>
      </c>
      <c r="D72" s="65" t="s">
        <v>264</v>
      </c>
      <c r="E72" s="236">
        <v>40.0</v>
      </c>
      <c r="F72" s="218">
        <v>96.71</v>
      </c>
      <c r="G72" s="219">
        <v>45013.0</v>
      </c>
      <c r="H72" s="239" t="s">
        <v>278</v>
      </c>
      <c r="I72" s="218">
        <f t="shared" si="1"/>
        <v>-3868.4</v>
      </c>
    </row>
    <row r="73" ht="15.75" customHeight="1">
      <c r="A73" s="65" t="s">
        <v>99</v>
      </c>
      <c r="B73" s="218" t="s">
        <v>170</v>
      </c>
      <c r="C73" s="65" t="s">
        <v>69</v>
      </c>
      <c r="D73" s="65" t="s">
        <v>264</v>
      </c>
      <c r="E73" s="236">
        <v>14.0</v>
      </c>
      <c r="F73" s="218">
        <v>141.5367</v>
      </c>
      <c r="G73" s="219">
        <v>45022.0</v>
      </c>
      <c r="H73" s="239" t="s">
        <v>278</v>
      </c>
      <c r="I73" s="218">
        <f t="shared" si="1"/>
        <v>-1981.5138</v>
      </c>
    </row>
    <row r="74" ht="15.75" customHeight="1">
      <c r="A74" s="65" t="s">
        <v>440</v>
      </c>
      <c r="B74" s="218" t="s">
        <v>441</v>
      </c>
      <c r="C74" s="65" t="s">
        <v>69</v>
      </c>
      <c r="D74" s="65" t="s">
        <v>264</v>
      </c>
      <c r="E74" s="236">
        <v>10.0</v>
      </c>
      <c r="F74" s="218">
        <v>207.984</v>
      </c>
      <c r="G74" s="219">
        <v>45022.0</v>
      </c>
      <c r="H74" s="239" t="s">
        <v>278</v>
      </c>
      <c r="I74" s="218">
        <f t="shared" si="1"/>
        <v>-2079.84</v>
      </c>
    </row>
    <row r="75" ht="15.75" customHeight="1">
      <c r="A75" s="65" t="s">
        <v>145</v>
      </c>
      <c r="B75" s="218" t="s">
        <v>442</v>
      </c>
      <c r="C75" s="65" t="s">
        <v>69</v>
      </c>
      <c r="D75" s="65" t="s">
        <v>264</v>
      </c>
      <c r="E75" s="236">
        <v>124.0</v>
      </c>
      <c r="F75" s="218">
        <v>16.046</v>
      </c>
      <c r="G75" s="219">
        <v>45022.0</v>
      </c>
      <c r="H75" s="239" t="s">
        <v>278</v>
      </c>
      <c r="I75" s="218">
        <f t="shared" si="1"/>
        <v>-1989.704</v>
      </c>
    </row>
    <row r="76" ht="15.75" customHeight="1">
      <c r="A76" s="65" t="s">
        <v>148</v>
      </c>
      <c r="B76" s="218" t="s">
        <v>443</v>
      </c>
      <c r="C76" s="65" t="s">
        <v>69</v>
      </c>
      <c r="D76" s="65" t="s">
        <v>264</v>
      </c>
      <c r="E76" s="236">
        <v>37.0</v>
      </c>
      <c r="F76" s="218">
        <v>54.288</v>
      </c>
      <c r="G76" s="219">
        <v>45022.0</v>
      </c>
      <c r="H76" s="239" t="s">
        <v>278</v>
      </c>
      <c r="I76" s="218">
        <f t="shared" si="1"/>
        <v>-2008.656</v>
      </c>
    </row>
    <row r="77" ht="15.75" customHeight="1">
      <c r="A77" s="65" t="s">
        <v>138</v>
      </c>
      <c r="B77" s="218" t="s">
        <v>301</v>
      </c>
      <c r="C77" s="65" t="s">
        <v>69</v>
      </c>
      <c r="D77" s="65" t="s">
        <v>264</v>
      </c>
      <c r="E77" s="236">
        <v>15.0</v>
      </c>
      <c r="F77" s="218">
        <v>129.29</v>
      </c>
      <c r="G77" s="219">
        <v>45022.0</v>
      </c>
      <c r="H77" s="239" t="s">
        <v>278</v>
      </c>
      <c r="I77" s="218">
        <f t="shared" si="1"/>
        <v>-1939.35</v>
      </c>
    </row>
    <row r="78" ht="15.75" customHeight="1">
      <c r="A78" s="65" t="s">
        <v>444</v>
      </c>
      <c r="B78" s="218" t="s">
        <v>445</v>
      </c>
      <c r="C78" s="65" t="s">
        <v>69</v>
      </c>
      <c r="D78" s="65" t="s">
        <v>264</v>
      </c>
      <c r="E78" s="236">
        <v>33.0</v>
      </c>
      <c r="F78" s="218">
        <v>60.01</v>
      </c>
      <c r="G78" s="219">
        <v>45022.0</v>
      </c>
      <c r="H78" s="239" t="s">
        <v>278</v>
      </c>
      <c r="I78" s="218">
        <f t="shared" si="1"/>
        <v>-1980.33</v>
      </c>
    </row>
    <row r="79" ht="15.75" customHeight="1">
      <c r="A79" s="65" t="s">
        <v>149</v>
      </c>
      <c r="B79" s="218" t="s">
        <v>446</v>
      </c>
      <c r="C79" s="65" t="s">
        <v>69</v>
      </c>
      <c r="D79" s="65" t="s">
        <v>264</v>
      </c>
      <c r="E79" s="236">
        <v>67.0</v>
      </c>
      <c r="F79" s="218">
        <v>29.7958</v>
      </c>
      <c r="G79" s="219">
        <v>45022.0</v>
      </c>
      <c r="H79" s="239" t="s">
        <v>278</v>
      </c>
      <c r="I79" s="218">
        <f t="shared" si="1"/>
        <v>-1996.3186</v>
      </c>
    </row>
    <row r="80" ht="15.75" customHeight="1">
      <c r="A80" s="65" t="s">
        <v>447</v>
      </c>
      <c r="B80" s="218" t="s">
        <v>448</v>
      </c>
      <c r="C80" s="65" t="s">
        <v>69</v>
      </c>
      <c r="D80" s="65" t="s">
        <v>264</v>
      </c>
      <c r="E80" s="236">
        <v>7.0</v>
      </c>
      <c r="F80" s="218">
        <v>310.435</v>
      </c>
      <c r="G80" s="219">
        <v>45022.0</v>
      </c>
      <c r="H80" s="239" t="s">
        <v>278</v>
      </c>
      <c r="I80" s="218">
        <f t="shared" si="1"/>
        <v>-2173.045</v>
      </c>
    </row>
    <row r="81" ht="15.75" customHeight="1">
      <c r="A81" s="65" t="s">
        <v>68</v>
      </c>
      <c r="B81" s="218" t="s">
        <v>244</v>
      </c>
      <c r="C81" s="65" t="s">
        <v>69</v>
      </c>
      <c r="D81" s="65" t="s">
        <v>253</v>
      </c>
      <c r="E81" s="65">
        <v>-46.0</v>
      </c>
      <c r="F81" s="218">
        <v>409.25</v>
      </c>
      <c r="G81" s="219">
        <v>45022.0</v>
      </c>
      <c r="H81" s="230">
        <v>0.0523</v>
      </c>
      <c r="I81" s="218">
        <f t="shared" si="1"/>
        <v>18825.5</v>
      </c>
    </row>
    <row r="82" ht="15.75" customHeight="1">
      <c r="A82" s="23" t="s">
        <v>117</v>
      </c>
      <c r="B82" s="23" t="s">
        <v>523</v>
      </c>
      <c r="C82" s="23" t="s">
        <v>524</v>
      </c>
      <c r="D82" s="23" t="s">
        <v>264</v>
      </c>
      <c r="E82" s="23">
        <v>404.0</v>
      </c>
      <c r="F82" s="71">
        <v>73.84</v>
      </c>
      <c r="G82" s="50">
        <v>45026.0</v>
      </c>
      <c r="H82" s="240" t="s">
        <v>278</v>
      </c>
      <c r="I82" s="71">
        <f t="shared" ref="I82:I85" si="2">E82*F82*-1</f>
        <v>-29831.36</v>
      </c>
    </row>
    <row r="83" ht="15.75" customHeight="1">
      <c r="A83" s="65" t="s">
        <v>428</v>
      </c>
      <c r="B83" s="65" t="s">
        <v>429</v>
      </c>
      <c r="C83" s="65" t="s">
        <v>79</v>
      </c>
      <c r="D83" s="65" t="s">
        <v>264</v>
      </c>
      <c r="E83" s="65">
        <v>417.0</v>
      </c>
      <c r="F83" s="218">
        <v>56.22</v>
      </c>
      <c r="G83" s="219">
        <v>45030.0</v>
      </c>
      <c r="H83" s="239" t="s">
        <v>278</v>
      </c>
      <c r="I83" s="218">
        <f t="shared" si="2"/>
        <v>-23443.74</v>
      </c>
    </row>
    <row r="84" ht="15.75" customHeight="1">
      <c r="A84" s="65" t="s">
        <v>90</v>
      </c>
      <c r="B84" s="65" t="s">
        <v>230</v>
      </c>
      <c r="C84" s="65" t="s">
        <v>91</v>
      </c>
      <c r="D84" s="65" t="s">
        <v>253</v>
      </c>
      <c r="E84" s="65">
        <v>-191.0</v>
      </c>
      <c r="F84" s="218">
        <v>69.07</v>
      </c>
      <c r="G84" s="219">
        <v>45030.0</v>
      </c>
      <c r="H84" s="230">
        <v>0.0144</v>
      </c>
      <c r="I84" s="218">
        <f t="shared" si="2"/>
        <v>13192.37</v>
      </c>
    </row>
    <row r="85" ht="15.75" customHeight="1">
      <c r="A85" s="65" t="s">
        <v>135</v>
      </c>
      <c r="B85" s="65" t="s">
        <v>401</v>
      </c>
      <c r="C85" s="65" t="s">
        <v>91</v>
      </c>
      <c r="D85" s="65" t="s">
        <v>264</v>
      </c>
      <c r="E85" s="65">
        <v>416.0</v>
      </c>
      <c r="F85" s="218">
        <v>31.68</v>
      </c>
      <c r="G85" s="219">
        <v>45030.0</v>
      </c>
      <c r="H85" s="239" t="s">
        <v>278</v>
      </c>
      <c r="I85" s="218">
        <f t="shared" si="2"/>
        <v>-13178.88</v>
      </c>
    </row>
    <row r="86" ht="15.75" customHeight="1">
      <c r="F86" s="71"/>
      <c r="G86" s="50"/>
      <c r="H86" s="19"/>
    </row>
    <row r="87" ht="15.75" customHeight="1">
      <c r="F87" s="71"/>
      <c r="G87" s="50"/>
      <c r="H87" s="19"/>
    </row>
    <row r="88" ht="15.75" customHeight="1">
      <c r="F88" s="71"/>
      <c r="G88" s="50"/>
      <c r="H88" s="19"/>
    </row>
    <row r="89" ht="15.75" customHeight="1">
      <c r="F89" s="71"/>
      <c r="G89" s="50"/>
      <c r="H89" s="19"/>
    </row>
    <row r="90" ht="15.75" customHeight="1">
      <c r="F90" s="71"/>
      <c r="G90" s="50"/>
      <c r="H90" s="19"/>
    </row>
    <row r="91" ht="15.75" customHeight="1">
      <c r="F91" s="71"/>
      <c r="G91" s="50"/>
      <c r="H91" s="19"/>
    </row>
    <row r="92" ht="15.75" customHeight="1">
      <c r="F92" s="71"/>
      <c r="G92" s="50"/>
      <c r="H92" s="19"/>
    </row>
    <row r="93" ht="15.75" customHeight="1">
      <c r="F93" s="71"/>
      <c r="G93" s="50"/>
      <c r="H93" s="19"/>
    </row>
    <row r="94" ht="15.75" customHeight="1">
      <c r="F94" s="71"/>
      <c r="G94" s="50"/>
      <c r="H94" s="19"/>
    </row>
    <row r="95" ht="15.75" customHeight="1">
      <c r="F95" s="71"/>
      <c r="G95" s="50"/>
      <c r="H95" s="19"/>
    </row>
    <row r="96" ht="15.75" customHeight="1">
      <c r="F96" s="71"/>
      <c r="G96" s="50"/>
      <c r="H96" s="19"/>
    </row>
    <row r="97" ht="15.75" customHeight="1">
      <c r="F97" s="71"/>
      <c r="G97" s="50"/>
      <c r="H97" s="19"/>
    </row>
    <row r="98" ht="15.75" customHeight="1">
      <c r="F98" s="71"/>
      <c r="G98" s="50"/>
      <c r="H98" s="19"/>
    </row>
    <row r="99" ht="15.75" customHeight="1">
      <c r="F99" s="71"/>
      <c r="G99" s="50"/>
      <c r="H99" s="19"/>
    </row>
    <row r="100" ht="15.75" customHeight="1">
      <c r="F100" s="71"/>
      <c r="G100" s="50"/>
      <c r="H100" s="19"/>
    </row>
    <row r="101" ht="15.75" customHeight="1">
      <c r="F101" s="71"/>
      <c r="G101" s="50"/>
      <c r="H101" s="19"/>
    </row>
    <row r="102" ht="15.75" customHeight="1">
      <c r="F102" s="71"/>
      <c r="G102" s="50"/>
      <c r="H102" s="19"/>
    </row>
    <row r="103" ht="15.75" customHeight="1">
      <c r="F103" s="71"/>
      <c r="G103" s="50"/>
      <c r="H103" s="19"/>
    </row>
    <row r="104" ht="15.75" customHeight="1">
      <c r="F104" s="71"/>
      <c r="G104" s="50"/>
      <c r="H104" s="19"/>
    </row>
    <row r="105" ht="15.75" customHeight="1">
      <c r="F105" s="71"/>
      <c r="G105" s="50"/>
      <c r="H105" s="19"/>
    </row>
    <row r="106" ht="15.75" customHeight="1">
      <c r="F106" s="71"/>
      <c r="G106" s="50"/>
      <c r="H106" s="19"/>
    </row>
    <row r="107" ht="15.75" customHeight="1">
      <c r="F107" s="71"/>
      <c r="G107" s="50"/>
      <c r="H107" s="19"/>
    </row>
    <row r="108" ht="15.75" customHeight="1">
      <c r="F108" s="71"/>
      <c r="G108" s="50"/>
      <c r="H108" s="19"/>
    </row>
    <row r="109" ht="15.75" customHeight="1">
      <c r="F109" s="71"/>
      <c r="G109" s="50"/>
      <c r="H109" s="19"/>
    </row>
    <row r="110" ht="15.75" customHeight="1">
      <c r="F110" s="71"/>
      <c r="G110" s="50"/>
      <c r="H110" s="19"/>
    </row>
    <row r="111" ht="15.75" customHeight="1">
      <c r="F111" s="71"/>
      <c r="G111" s="50"/>
      <c r="H111" s="19"/>
    </row>
    <row r="112" ht="15.75" customHeight="1">
      <c r="F112" s="71"/>
      <c r="G112" s="50"/>
      <c r="H112" s="19"/>
    </row>
    <row r="113" ht="15.75" customHeight="1">
      <c r="F113" s="71"/>
      <c r="G113" s="50"/>
      <c r="H113" s="19"/>
    </row>
    <row r="114" ht="15.75" customHeight="1">
      <c r="F114" s="71"/>
      <c r="G114" s="50"/>
      <c r="H114" s="19"/>
    </row>
    <row r="115" ht="15.75" customHeight="1">
      <c r="F115" s="71"/>
      <c r="G115" s="50"/>
      <c r="H115" s="19"/>
    </row>
    <row r="116" ht="15.75" customHeight="1">
      <c r="F116" s="71"/>
      <c r="G116" s="50"/>
      <c r="H116" s="19"/>
    </row>
    <row r="117" ht="15.75" customHeight="1">
      <c r="F117" s="71"/>
      <c r="G117" s="50"/>
      <c r="H117" s="19"/>
    </row>
    <row r="118" ht="15.75" customHeight="1">
      <c r="F118" s="71"/>
      <c r="G118" s="50"/>
      <c r="H118" s="19"/>
    </row>
    <row r="119" ht="15.75" customHeight="1">
      <c r="F119" s="71"/>
      <c r="G119" s="50"/>
      <c r="H119" s="19"/>
    </row>
    <row r="120" ht="15.75" customHeight="1">
      <c r="F120" s="71"/>
      <c r="G120" s="50"/>
      <c r="H120" s="19"/>
    </row>
    <row r="121" ht="15.75" customHeight="1">
      <c r="F121" s="71"/>
      <c r="G121" s="50"/>
      <c r="H121" s="19"/>
    </row>
    <row r="122" ht="15.75" customHeight="1">
      <c r="F122" s="71"/>
      <c r="G122" s="50"/>
      <c r="H122" s="19"/>
    </row>
    <row r="123" ht="15.75" customHeight="1">
      <c r="F123" s="71"/>
      <c r="G123" s="50"/>
      <c r="H123" s="19"/>
    </row>
    <row r="124" ht="15.75" customHeight="1">
      <c r="F124" s="71"/>
      <c r="G124" s="50"/>
      <c r="H124" s="19"/>
    </row>
    <row r="125" ht="15.75" customHeight="1">
      <c r="F125" s="71"/>
      <c r="G125" s="50"/>
      <c r="H125" s="19"/>
    </row>
    <row r="126" ht="15.75" customHeight="1">
      <c r="F126" s="71"/>
      <c r="G126" s="50"/>
      <c r="H126" s="19"/>
    </row>
    <row r="127" ht="15.75" customHeight="1">
      <c r="F127" s="71"/>
      <c r="G127" s="50"/>
      <c r="H127" s="19"/>
    </row>
    <row r="128" ht="15.75" customHeight="1">
      <c r="F128" s="71"/>
      <c r="G128" s="50"/>
      <c r="H128" s="19"/>
    </row>
    <row r="129" ht="15.75" customHeight="1">
      <c r="F129" s="71"/>
      <c r="G129" s="50"/>
      <c r="H129" s="19"/>
    </row>
    <row r="130" ht="15.75" customHeight="1">
      <c r="F130" s="71"/>
      <c r="G130" s="50"/>
      <c r="H130" s="19"/>
    </row>
    <row r="131" ht="15.75" customHeight="1">
      <c r="F131" s="71"/>
      <c r="G131" s="50"/>
      <c r="H131" s="19"/>
    </row>
    <row r="132" ht="15.75" customHeight="1">
      <c r="F132" s="71"/>
      <c r="G132" s="50"/>
      <c r="H132" s="19"/>
    </row>
    <row r="133" ht="15.75" customHeight="1">
      <c r="F133" s="71"/>
      <c r="G133" s="50"/>
      <c r="H133" s="19"/>
    </row>
    <row r="134" ht="15.75" customHeight="1">
      <c r="F134" s="71"/>
      <c r="G134" s="50"/>
      <c r="H134" s="19"/>
    </row>
    <row r="135" ht="15.75" customHeight="1">
      <c r="F135" s="71"/>
      <c r="G135" s="50"/>
      <c r="H135" s="19"/>
    </row>
    <row r="136" ht="15.75" customHeight="1">
      <c r="F136" s="71"/>
      <c r="G136" s="50"/>
      <c r="H136" s="19"/>
    </row>
    <row r="137" ht="15.75" customHeight="1">
      <c r="F137" s="71"/>
      <c r="G137" s="50"/>
      <c r="H137" s="19"/>
    </row>
    <row r="138" ht="15.75" customHeight="1">
      <c r="F138" s="71"/>
      <c r="G138" s="50"/>
      <c r="H138" s="19"/>
    </row>
    <row r="139" ht="15.75" customHeight="1">
      <c r="F139" s="71"/>
      <c r="G139" s="50"/>
      <c r="H139" s="19"/>
    </row>
    <row r="140" ht="15.75" customHeight="1">
      <c r="F140" s="71"/>
      <c r="G140" s="50"/>
      <c r="H140" s="19"/>
    </row>
    <row r="141" ht="15.75" customHeight="1">
      <c r="F141" s="71"/>
      <c r="G141" s="50"/>
      <c r="H141" s="19"/>
    </row>
    <row r="142" ht="15.75" customHeight="1">
      <c r="F142" s="71"/>
      <c r="G142" s="50"/>
      <c r="H142" s="19"/>
    </row>
    <row r="143" ht="15.75" customHeight="1">
      <c r="F143" s="71"/>
      <c r="G143" s="50"/>
      <c r="H143" s="19"/>
    </row>
    <row r="144" ht="15.75" customHeight="1">
      <c r="F144" s="71"/>
      <c r="G144" s="50"/>
      <c r="H144" s="19"/>
    </row>
    <row r="145" ht="15.75" customHeight="1">
      <c r="F145" s="71"/>
      <c r="G145" s="50"/>
      <c r="H145" s="19"/>
    </row>
    <row r="146" ht="15.75" customHeight="1">
      <c r="F146" s="71"/>
      <c r="G146" s="50"/>
      <c r="H146" s="19"/>
    </row>
    <row r="147" ht="15.75" customHeight="1">
      <c r="F147" s="71"/>
      <c r="G147" s="50"/>
      <c r="H147" s="19"/>
    </row>
    <row r="148" ht="15.75" customHeight="1">
      <c r="F148" s="71"/>
      <c r="G148" s="50"/>
      <c r="H148" s="19"/>
    </row>
    <row r="149" ht="15.75" customHeight="1">
      <c r="F149" s="71"/>
      <c r="G149" s="50"/>
      <c r="H149" s="19"/>
    </row>
    <row r="150" ht="15.75" customHeight="1">
      <c r="F150" s="71"/>
      <c r="G150" s="50"/>
      <c r="H150" s="19"/>
    </row>
    <row r="151" ht="15.75" customHeight="1">
      <c r="F151" s="71"/>
      <c r="G151" s="50"/>
      <c r="H151" s="19"/>
    </row>
    <row r="152" ht="15.75" customHeight="1">
      <c r="F152" s="71"/>
      <c r="G152" s="50"/>
      <c r="H152" s="19"/>
    </row>
    <row r="153" ht="15.75" customHeight="1">
      <c r="F153" s="71"/>
      <c r="G153" s="50"/>
      <c r="H153" s="19"/>
    </row>
    <row r="154" ht="15.75" customHeight="1">
      <c r="F154" s="71"/>
      <c r="G154" s="50"/>
      <c r="H154" s="19"/>
    </row>
    <row r="155" ht="15.75" customHeight="1">
      <c r="F155" s="71"/>
      <c r="G155" s="50"/>
      <c r="H155" s="19"/>
    </row>
    <row r="156" ht="15.75" customHeight="1">
      <c r="F156" s="71"/>
      <c r="G156" s="50"/>
      <c r="H156" s="19"/>
    </row>
    <row r="157" ht="15.75" customHeight="1">
      <c r="F157" s="71"/>
      <c r="G157" s="50"/>
      <c r="H157" s="19"/>
    </row>
    <row r="158" ht="15.75" customHeight="1">
      <c r="F158" s="71"/>
      <c r="G158" s="50"/>
      <c r="H158" s="19"/>
    </row>
    <row r="159" ht="15.75" customHeight="1">
      <c r="F159" s="71"/>
      <c r="G159" s="50"/>
      <c r="H159" s="19"/>
    </row>
    <row r="160" ht="15.75" customHeight="1">
      <c r="F160" s="71"/>
      <c r="G160" s="50"/>
      <c r="H160" s="19"/>
    </row>
    <row r="161" ht="15.75" customHeight="1">
      <c r="F161" s="71"/>
      <c r="G161" s="50"/>
      <c r="H161" s="19"/>
    </row>
    <row r="162" ht="15.75" customHeight="1">
      <c r="F162" s="71"/>
      <c r="G162" s="50"/>
      <c r="H162" s="19"/>
    </row>
    <row r="163" ht="15.75" customHeight="1">
      <c r="F163" s="71"/>
      <c r="G163" s="50"/>
      <c r="H163" s="19"/>
    </row>
    <row r="164" ht="15.75" customHeight="1">
      <c r="F164" s="71"/>
      <c r="G164" s="50"/>
      <c r="H164" s="19"/>
    </row>
    <row r="165" ht="15.75" customHeight="1">
      <c r="F165" s="71"/>
      <c r="G165" s="50"/>
      <c r="H165" s="19"/>
    </row>
    <row r="166" ht="15.75" customHeight="1">
      <c r="F166" s="71"/>
      <c r="G166" s="50"/>
      <c r="H166" s="19"/>
    </row>
    <row r="167" ht="15.75" customHeight="1">
      <c r="F167" s="71"/>
      <c r="G167" s="50"/>
      <c r="H167" s="19"/>
    </row>
    <row r="168" ht="15.75" customHeight="1">
      <c r="F168" s="71"/>
      <c r="G168" s="50"/>
      <c r="H168" s="19"/>
    </row>
    <row r="169" ht="15.75" customHeight="1">
      <c r="F169" s="71"/>
      <c r="G169" s="50"/>
      <c r="H169" s="19"/>
    </row>
    <row r="170" ht="15.75" customHeight="1">
      <c r="F170" s="71"/>
      <c r="G170" s="50"/>
      <c r="H170" s="19"/>
    </row>
    <row r="171" ht="15.75" customHeight="1">
      <c r="F171" s="71"/>
      <c r="G171" s="50"/>
      <c r="H171" s="19"/>
    </row>
    <row r="172" ht="15.75" customHeight="1">
      <c r="F172" s="71"/>
      <c r="G172" s="50"/>
      <c r="H172" s="19"/>
    </row>
    <row r="173" ht="15.75" customHeight="1">
      <c r="F173" s="71"/>
      <c r="G173" s="50"/>
      <c r="H173" s="19"/>
    </row>
    <row r="174" ht="15.75" customHeight="1">
      <c r="F174" s="71"/>
      <c r="G174" s="50"/>
      <c r="H174" s="19"/>
    </row>
    <row r="175" ht="15.75" customHeight="1">
      <c r="F175" s="71"/>
      <c r="G175" s="50"/>
      <c r="H175" s="19"/>
    </row>
    <row r="176" ht="15.75" customHeight="1">
      <c r="F176" s="71"/>
      <c r="G176" s="50"/>
      <c r="H176" s="19"/>
    </row>
    <row r="177" ht="15.75" customHeight="1">
      <c r="F177" s="71"/>
      <c r="G177" s="50"/>
      <c r="H177" s="19"/>
    </row>
    <row r="178" ht="15.75" customHeight="1">
      <c r="F178" s="71"/>
      <c r="G178" s="50"/>
      <c r="H178" s="19"/>
    </row>
    <row r="179" ht="15.75" customHeight="1">
      <c r="F179" s="71"/>
      <c r="G179" s="50"/>
      <c r="H179" s="19"/>
    </row>
    <row r="180" ht="15.75" customHeight="1">
      <c r="F180" s="71"/>
      <c r="G180" s="50"/>
      <c r="H180" s="19"/>
    </row>
    <row r="181" ht="15.75" customHeight="1">
      <c r="F181" s="71"/>
      <c r="G181" s="50"/>
      <c r="H181" s="19"/>
    </row>
    <row r="182" ht="15.75" customHeight="1">
      <c r="F182" s="71"/>
      <c r="G182" s="50"/>
      <c r="H182" s="19"/>
    </row>
    <row r="183" ht="15.75" customHeight="1">
      <c r="F183" s="71"/>
      <c r="G183" s="50"/>
      <c r="H183" s="19"/>
    </row>
    <row r="184" ht="15.75" customHeight="1">
      <c r="F184" s="71"/>
      <c r="G184" s="50"/>
      <c r="H184" s="19"/>
    </row>
    <row r="185" ht="15.75" customHeight="1">
      <c r="F185" s="71"/>
      <c r="G185" s="50"/>
      <c r="H185" s="19"/>
    </row>
    <row r="186" ht="15.75" customHeight="1">
      <c r="F186" s="71"/>
      <c r="G186" s="50"/>
      <c r="H186" s="19"/>
    </row>
    <row r="187" ht="15.75" customHeight="1">
      <c r="F187" s="71"/>
      <c r="G187" s="50"/>
      <c r="H187" s="19"/>
    </row>
    <row r="188" ht="15.75" customHeight="1">
      <c r="F188" s="71"/>
      <c r="G188" s="50"/>
      <c r="H188" s="19"/>
    </row>
    <row r="189" ht="15.75" customHeight="1">
      <c r="F189" s="71"/>
      <c r="G189" s="50"/>
      <c r="H189" s="19"/>
    </row>
    <row r="190" ht="15.75" customHeight="1">
      <c r="F190" s="71"/>
      <c r="G190" s="50"/>
      <c r="H190" s="19"/>
    </row>
    <row r="191" ht="15.75" customHeight="1">
      <c r="F191" s="71"/>
      <c r="G191" s="50"/>
      <c r="H191" s="19"/>
    </row>
    <row r="192" ht="15.75" customHeight="1">
      <c r="F192" s="71"/>
      <c r="G192" s="50"/>
      <c r="H192" s="19"/>
    </row>
    <row r="193" ht="15.75" customHeight="1">
      <c r="F193" s="71"/>
      <c r="G193" s="50"/>
      <c r="H193" s="19"/>
    </row>
    <row r="194" ht="15.75" customHeight="1">
      <c r="F194" s="71"/>
      <c r="G194" s="50"/>
      <c r="H194" s="19"/>
    </row>
    <row r="195" ht="15.75" customHeight="1">
      <c r="F195" s="71"/>
      <c r="G195" s="50"/>
      <c r="H195" s="19"/>
    </row>
    <row r="196" ht="15.75" customHeight="1">
      <c r="F196" s="71"/>
      <c r="G196" s="50"/>
      <c r="H196" s="19"/>
    </row>
    <row r="197" ht="15.75" customHeight="1">
      <c r="F197" s="71"/>
      <c r="G197" s="50"/>
      <c r="H197" s="19"/>
    </row>
    <row r="198" ht="15.75" customHeight="1">
      <c r="F198" s="71"/>
      <c r="G198" s="50"/>
      <c r="H198" s="19"/>
    </row>
    <row r="199" ht="15.75" customHeight="1">
      <c r="F199" s="71"/>
      <c r="G199" s="50"/>
      <c r="H199" s="19"/>
    </row>
    <row r="200" ht="15.75" customHeight="1">
      <c r="F200" s="71"/>
      <c r="G200" s="50"/>
      <c r="H200" s="19"/>
    </row>
    <row r="201" ht="15.75" customHeight="1">
      <c r="F201" s="71"/>
      <c r="G201" s="50"/>
      <c r="H201" s="19"/>
    </row>
    <row r="202" ht="15.75" customHeight="1">
      <c r="F202" s="71"/>
      <c r="G202" s="50"/>
      <c r="H202" s="19"/>
    </row>
    <row r="203" ht="15.75" customHeight="1">
      <c r="F203" s="71"/>
      <c r="G203" s="50"/>
      <c r="H203" s="19"/>
    </row>
    <row r="204" ht="15.75" customHeight="1">
      <c r="F204" s="71"/>
      <c r="G204" s="50"/>
      <c r="H204" s="19"/>
    </row>
    <row r="205" ht="15.75" customHeight="1">
      <c r="F205" s="71"/>
      <c r="G205" s="50"/>
      <c r="H205" s="19"/>
    </row>
    <row r="206" ht="15.75" customHeight="1">
      <c r="F206" s="71"/>
      <c r="G206" s="50"/>
      <c r="H206" s="19"/>
    </row>
    <row r="207" ht="15.75" customHeight="1">
      <c r="F207" s="71"/>
      <c r="G207" s="50"/>
      <c r="H207" s="19"/>
    </row>
    <row r="208" ht="15.75" customHeight="1">
      <c r="F208" s="71"/>
      <c r="G208" s="50"/>
      <c r="H208" s="19"/>
    </row>
    <row r="209" ht="15.75" customHeight="1">
      <c r="F209" s="71"/>
      <c r="G209" s="50"/>
      <c r="H209" s="19"/>
    </row>
    <row r="210" ht="15.75" customHeight="1">
      <c r="F210" s="71"/>
      <c r="G210" s="50"/>
      <c r="H210" s="19"/>
    </row>
    <row r="211" ht="15.75" customHeight="1">
      <c r="F211" s="71"/>
      <c r="G211" s="50"/>
      <c r="H211" s="19"/>
    </row>
    <row r="212" ht="15.75" customHeight="1">
      <c r="F212" s="71"/>
      <c r="G212" s="50"/>
      <c r="H212" s="19"/>
    </row>
    <row r="213" ht="15.75" customHeight="1">
      <c r="F213" s="71"/>
      <c r="G213" s="50"/>
      <c r="H213" s="19"/>
    </row>
    <row r="214" ht="15.75" customHeight="1">
      <c r="F214" s="71"/>
      <c r="G214" s="50"/>
      <c r="H214" s="19"/>
    </row>
    <row r="215" ht="15.75" customHeight="1">
      <c r="F215" s="71"/>
      <c r="G215" s="50"/>
      <c r="H215" s="19"/>
    </row>
    <row r="216" ht="15.75" customHeight="1">
      <c r="F216" s="71"/>
      <c r="G216" s="50"/>
      <c r="H216" s="19"/>
    </row>
    <row r="217" ht="15.75" customHeight="1">
      <c r="F217" s="71"/>
      <c r="G217" s="50"/>
      <c r="H217" s="19"/>
    </row>
    <row r="218" ht="15.75" customHeight="1">
      <c r="F218" s="71"/>
      <c r="G218" s="50"/>
      <c r="H218" s="19"/>
    </row>
    <row r="219" ht="15.75" customHeight="1">
      <c r="F219" s="71"/>
      <c r="G219" s="50"/>
      <c r="H219" s="19"/>
    </row>
    <row r="220" ht="15.75" customHeight="1">
      <c r="F220" s="71"/>
      <c r="G220" s="50"/>
      <c r="H220" s="19"/>
    </row>
    <row r="221" ht="15.75" customHeight="1">
      <c r="F221" s="71"/>
      <c r="G221" s="50"/>
      <c r="H221" s="19"/>
    </row>
    <row r="222" ht="15.75" customHeight="1">
      <c r="F222" s="71"/>
      <c r="G222" s="50"/>
      <c r="H222" s="19"/>
    </row>
    <row r="223" ht="15.75" customHeight="1">
      <c r="F223" s="71"/>
      <c r="G223" s="50"/>
      <c r="H223" s="19"/>
    </row>
    <row r="224" ht="15.75" customHeight="1">
      <c r="F224" s="71"/>
      <c r="G224" s="50"/>
      <c r="H224" s="19"/>
    </row>
    <row r="225" ht="15.75" customHeight="1">
      <c r="F225" s="71"/>
      <c r="G225" s="50"/>
      <c r="H225" s="19"/>
    </row>
    <row r="226" ht="15.75" customHeight="1">
      <c r="F226" s="71"/>
      <c r="G226" s="50"/>
      <c r="H226" s="19"/>
    </row>
    <row r="227" ht="15.75" customHeight="1">
      <c r="F227" s="71"/>
      <c r="G227" s="50"/>
      <c r="H227" s="19"/>
    </row>
    <row r="228" ht="15.75" customHeight="1">
      <c r="F228" s="71"/>
      <c r="G228" s="50"/>
      <c r="H228" s="19"/>
    </row>
    <row r="229" ht="15.75" customHeight="1">
      <c r="F229" s="71"/>
      <c r="G229" s="50"/>
      <c r="H229" s="19"/>
    </row>
    <row r="230" ht="15.75" customHeight="1">
      <c r="F230" s="71"/>
      <c r="G230" s="50"/>
      <c r="H230" s="19"/>
    </row>
    <row r="231" ht="15.75" customHeight="1">
      <c r="F231" s="71"/>
      <c r="G231" s="50"/>
      <c r="H231" s="19"/>
    </row>
    <row r="232" ht="15.75" customHeight="1">
      <c r="F232" s="71"/>
      <c r="G232" s="50"/>
      <c r="H232" s="19"/>
    </row>
    <row r="233" ht="15.75" customHeight="1">
      <c r="F233" s="71"/>
      <c r="G233" s="50"/>
      <c r="H233" s="19"/>
    </row>
    <row r="234" ht="15.75" customHeight="1">
      <c r="F234" s="71"/>
      <c r="G234" s="50"/>
      <c r="H234" s="19"/>
    </row>
    <row r="235" ht="15.75" customHeight="1">
      <c r="F235" s="71"/>
      <c r="G235" s="50"/>
      <c r="H235" s="19"/>
    </row>
    <row r="236" ht="15.75" customHeight="1">
      <c r="F236" s="71"/>
      <c r="G236" s="50"/>
      <c r="H236" s="19"/>
    </row>
    <row r="237" ht="15.75" customHeight="1">
      <c r="F237" s="71"/>
      <c r="G237" s="50"/>
      <c r="H237" s="19"/>
    </row>
    <row r="238" ht="15.75" customHeight="1">
      <c r="F238" s="71"/>
      <c r="G238" s="50"/>
      <c r="H238" s="19"/>
    </row>
    <row r="239" ht="15.75" customHeight="1">
      <c r="F239" s="71"/>
      <c r="G239" s="50"/>
      <c r="H239" s="19"/>
    </row>
    <row r="240" ht="15.75" customHeight="1">
      <c r="F240" s="71"/>
      <c r="G240" s="50"/>
      <c r="H240" s="19"/>
    </row>
    <row r="241" ht="15.75" customHeight="1">
      <c r="F241" s="71"/>
      <c r="G241" s="50"/>
      <c r="H241" s="19"/>
    </row>
    <row r="242" ht="15.75" customHeight="1">
      <c r="F242" s="71"/>
      <c r="G242" s="50"/>
      <c r="H242" s="19"/>
    </row>
    <row r="243" ht="15.75" customHeight="1">
      <c r="F243" s="71"/>
      <c r="G243" s="50"/>
      <c r="H243" s="19"/>
    </row>
    <row r="244" ht="15.75" customHeight="1">
      <c r="F244" s="71"/>
      <c r="G244" s="50"/>
      <c r="H244" s="19"/>
    </row>
    <row r="245" ht="15.75" customHeight="1">
      <c r="F245" s="71"/>
      <c r="G245" s="50"/>
      <c r="H245" s="19"/>
    </row>
    <row r="246" ht="15.75" customHeight="1">
      <c r="F246" s="71"/>
      <c r="G246" s="50"/>
      <c r="H246" s="19"/>
    </row>
    <row r="247" ht="15.75" customHeight="1">
      <c r="F247" s="71"/>
      <c r="G247" s="50"/>
      <c r="H247" s="19"/>
    </row>
    <row r="248" ht="15.75" customHeight="1">
      <c r="F248" s="71"/>
      <c r="G248" s="50"/>
      <c r="H248" s="19"/>
    </row>
    <row r="249" ht="15.75" customHeight="1">
      <c r="F249" s="71"/>
      <c r="G249" s="50"/>
      <c r="H249" s="19"/>
    </row>
    <row r="250" ht="15.75" customHeight="1">
      <c r="F250" s="71"/>
      <c r="G250" s="50"/>
      <c r="H250" s="19"/>
    </row>
    <row r="251" ht="15.75" customHeight="1">
      <c r="F251" s="71"/>
      <c r="G251" s="50"/>
      <c r="H251" s="19"/>
    </row>
    <row r="252" ht="15.75" customHeight="1">
      <c r="F252" s="71"/>
      <c r="G252" s="50"/>
      <c r="H252" s="19"/>
    </row>
    <row r="253" ht="15.75" customHeight="1">
      <c r="F253" s="71"/>
      <c r="G253" s="50"/>
      <c r="H253" s="19"/>
    </row>
    <row r="254" ht="15.75" customHeight="1">
      <c r="F254" s="71"/>
      <c r="G254" s="50"/>
      <c r="H254" s="19"/>
    </row>
    <row r="255" ht="15.75" customHeight="1">
      <c r="F255" s="71"/>
      <c r="G255" s="50"/>
      <c r="H255" s="19"/>
    </row>
    <row r="256" ht="15.75" customHeight="1">
      <c r="F256" s="71"/>
      <c r="G256" s="50"/>
      <c r="H256" s="19"/>
    </row>
    <row r="257" ht="15.75" customHeight="1">
      <c r="F257" s="71"/>
      <c r="G257" s="50"/>
      <c r="H257" s="19"/>
    </row>
    <row r="258" ht="15.75" customHeight="1">
      <c r="F258" s="71"/>
      <c r="G258" s="50"/>
      <c r="H258" s="19"/>
    </row>
    <row r="259" ht="15.75" customHeight="1">
      <c r="F259" s="71"/>
      <c r="G259" s="50"/>
      <c r="H259" s="19"/>
    </row>
    <row r="260" ht="15.75" customHeight="1">
      <c r="F260" s="71"/>
      <c r="G260" s="50"/>
      <c r="H260" s="19"/>
    </row>
    <row r="261" ht="15.75" customHeight="1">
      <c r="F261" s="71"/>
      <c r="G261" s="50"/>
      <c r="H261" s="19"/>
    </row>
    <row r="262" ht="15.75" customHeight="1">
      <c r="F262" s="71"/>
      <c r="G262" s="50"/>
      <c r="H262" s="19"/>
    </row>
    <row r="263" ht="15.75" customHeight="1">
      <c r="F263" s="71"/>
      <c r="G263" s="50"/>
      <c r="H263" s="19"/>
    </row>
    <row r="264" ht="15.75" customHeight="1">
      <c r="F264" s="71"/>
      <c r="G264" s="50"/>
      <c r="H264" s="19"/>
    </row>
    <row r="265" ht="15.75" customHeight="1">
      <c r="F265" s="71"/>
      <c r="G265" s="50"/>
      <c r="H265" s="19"/>
    </row>
    <row r="266" ht="15.75" customHeight="1">
      <c r="F266" s="71"/>
      <c r="G266" s="50"/>
      <c r="H266" s="19"/>
    </row>
    <row r="267" ht="15.75" customHeight="1">
      <c r="F267" s="71"/>
      <c r="G267" s="50"/>
      <c r="H267" s="19"/>
    </row>
    <row r="268" ht="15.75" customHeight="1">
      <c r="F268" s="71"/>
      <c r="G268" s="50"/>
      <c r="H268" s="19"/>
    </row>
    <row r="269" ht="15.75" customHeight="1">
      <c r="F269" s="71"/>
      <c r="G269" s="50"/>
      <c r="H269" s="19"/>
    </row>
    <row r="270" ht="15.75" customHeight="1">
      <c r="F270" s="71"/>
      <c r="G270" s="50"/>
      <c r="H270" s="19"/>
    </row>
    <row r="271" ht="15.75" customHeight="1">
      <c r="F271" s="71"/>
      <c r="G271" s="50"/>
      <c r="H271" s="19"/>
    </row>
    <row r="272" ht="15.75" customHeight="1">
      <c r="F272" s="71"/>
      <c r="G272" s="50"/>
      <c r="H272" s="19"/>
    </row>
    <row r="273" ht="15.75" customHeight="1">
      <c r="F273" s="71"/>
      <c r="G273" s="50"/>
      <c r="H273" s="19"/>
    </row>
    <row r="274" ht="15.75" customHeight="1">
      <c r="F274" s="71"/>
      <c r="G274" s="50"/>
      <c r="H274" s="19"/>
    </row>
    <row r="275" ht="15.75" customHeight="1">
      <c r="F275" s="71"/>
      <c r="G275" s="50"/>
      <c r="H275" s="19"/>
    </row>
    <row r="276" ht="15.75" customHeight="1">
      <c r="F276" s="71"/>
      <c r="G276" s="50"/>
      <c r="H276" s="19"/>
    </row>
    <row r="277" ht="15.75" customHeight="1">
      <c r="F277" s="71"/>
      <c r="G277" s="50"/>
      <c r="H277" s="19"/>
    </row>
    <row r="278" ht="15.75" customHeight="1">
      <c r="F278" s="71"/>
      <c r="G278" s="50"/>
      <c r="H278" s="19"/>
    </row>
    <row r="279" ht="15.75" customHeight="1">
      <c r="F279" s="71"/>
      <c r="G279" s="50"/>
      <c r="H279" s="19"/>
    </row>
    <row r="280" ht="15.75" customHeight="1">
      <c r="F280" s="71"/>
      <c r="G280" s="50"/>
      <c r="H280" s="19"/>
    </row>
    <row r="281" ht="15.75" customHeight="1">
      <c r="F281" s="71"/>
      <c r="G281" s="50"/>
      <c r="H281" s="19"/>
    </row>
    <row r="282" ht="15.75" customHeight="1">
      <c r="F282" s="71"/>
      <c r="G282" s="50"/>
      <c r="H282" s="19"/>
    </row>
    <row r="283" ht="15.75" customHeight="1">
      <c r="F283" s="71"/>
      <c r="G283" s="50"/>
      <c r="H283" s="19"/>
    </row>
    <row r="284" ht="15.75" customHeight="1">
      <c r="F284" s="71"/>
      <c r="G284" s="50"/>
      <c r="H284" s="19"/>
    </row>
    <row r="285" ht="15.75" customHeight="1">
      <c r="F285" s="71"/>
      <c r="G285" s="50"/>
      <c r="H285" s="19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N31:O31">
    <cfRule type="cellIs" dxfId="0" priority="1" operator="greaterThan">
      <formula>0</formula>
    </cfRule>
  </conditionalFormatting>
  <conditionalFormatting sqref="N31:O31">
    <cfRule type="cellIs" dxfId="1" priority="2" operator="lessThan">
      <formula>0</formula>
    </cfRule>
  </conditionalFormatting>
  <conditionalFormatting sqref="U31:Z31">
    <cfRule type="cellIs" dxfId="2" priority="3" operator="greaterThan">
      <formula>0</formula>
    </cfRule>
  </conditionalFormatting>
  <conditionalFormatting sqref="U31:Z31">
    <cfRule type="cellIs" dxfId="1" priority="4" operator="lessThan">
      <formula>0</formula>
    </cfRule>
  </conditionalFormatting>
  <conditionalFormatting sqref="U31:Z31">
    <cfRule type="cellIs" dxfId="3" priority="5" operator="equal">
      <formula>0</formula>
    </cfRule>
  </conditionalFormatting>
  <conditionalFormatting sqref="U31:Z31">
    <cfRule type="cellIs" dxfId="4" priority="6" operator="equal">
      <formula>"""NA"""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30.13"/>
    <col customWidth="1" min="3" max="3" width="18.88"/>
    <col customWidth="1" min="4" max="9" width="14.63"/>
  </cols>
  <sheetData>
    <row r="1" ht="15.0" customHeight="1">
      <c r="A1" s="196" t="s">
        <v>267</v>
      </c>
      <c r="B1" s="196" t="s">
        <v>1</v>
      </c>
      <c r="C1" s="196" t="s">
        <v>61</v>
      </c>
      <c r="D1" s="196" t="s">
        <v>248</v>
      </c>
      <c r="E1" s="196" t="s">
        <v>63</v>
      </c>
      <c r="F1" s="197" t="s">
        <v>249</v>
      </c>
      <c r="G1" s="198" t="s">
        <v>250</v>
      </c>
      <c r="H1" s="199" t="s">
        <v>251</v>
      </c>
      <c r="I1" s="229" t="s">
        <v>252</v>
      </c>
    </row>
    <row r="2" ht="15.0" customHeight="1">
      <c r="A2" s="65" t="s">
        <v>90</v>
      </c>
      <c r="B2" s="65" t="str">
        <f>VLOOKUP(A2, 'Sector Holdings'!B3:C121, 2, FALSE)</f>
        <v>SPDR Utilities ETF</v>
      </c>
      <c r="C2" s="65" t="s">
        <v>91</v>
      </c>
      <c r="D2" s="65" t="s">
        <v>260</v>
      </c>
      <c r="E2" s="68">
        <v>84.0</v>
      </c>
      <c r="F2" s="218">
        <v>76.07</v>
      </c>
      <c r="G2" s="219">
        <v>44818.0</v>
      </c>
      <c r="H2" s="230" t="str">
        <f>IF(OR(D2="Sell to Trim", D2="Sell to Close"),F2/VLOOKUP(A2, 'Sector Holdings'!B3:M121, 11, FALSE) - 1, "N/A")</f>
        <v>N/A</v>
      </c>
      <c r="I2" s="218">
        <f t="shared" ref="I2:I21" si="1">F2*E2*-1</f>
        <v>-6389.88</v>
      </c>
    </row>
    <row r="3" ht="15.0" customHeight="1">
      <c r="A3" s="65" t="s">
        <v>73</v>
      </c>
      <c r="B3" s="65" t="str">
        <f>VLOOKUP(A3, 'Sector Holdings'!B4:C122, 2, FALSE)</f>
        <v>SPDR Consumer Staples ETF</v>
      </c>
      <c r="C3" s="65" t="s">
        <v>74</v>
      </c>
      <c r="D3" s="65" t="s">
        <v>260</v>
      </c>
      <c r="E3" s="68">
        <v>226.0</v>
      </c>
      <c r="F3" s="218">
        <v>71.6</v>
      </c>
      <c r="G3" s="219">
        <v>44818.0</v>
      </c>
      <c r="H3" s="230" t="str">
        <f>IF(OR(D3="Sell to Trim", D3="Sell to Close"),F3/VLOOKUP(A3, 'Sector Holdings'!B4:M122, 11, FALSE) - 1, "N/A")</f>
        <v>N/A</v>
      </c>
      <c r="I3" s="218">
        <f t="shared" si="1"/>
        <v>-16181.6</v>
      </c>
    </row>
    <row r="4" ht="15.0" customHeight="1">
      <c r="A4" s="65" t="s">
        <v>29</v>
      </c>
      <c r="B4" s="65" t="str">
        <f>VLOOKUP(A4, 'Sector Holdings'!B4:C123, 2, FALSE)</f>
        <v>iShares Aggregate Bond ETF</v>
      </c>
      <c r="C4" s="65" t="s">
        <v>17</v>
      </c>
      <c r="D4" s="65" t="s">
        <v>261</v>
      </c>
      <c r="E4" s="68">
        <v>-87.0</v>
      </c>
      <c r="F4" s="218">
        <v>99.01</v>
      </c>
      <c r="G4" s="219">
        <v>44818.0</v>
      </c>
      <c r="H4" s="230">
        <f>IF(OR(D4="Sell to Trim", D4="Sell to Close"),F4/VLOOKUP(A4, 'Sector Holdings'!B4:M123, 11, FALSE) - 1, "N/A")</f>
        <v>-0.06231650725</v>
      </c>
      <c r="I4" s="218">
        <f t="shared" si="1"/>
        <v>8613.87</v>
      </c>
    </row>
    <row r="5" ht="15.0" customHeight="1">
      <c r="A5" s="65" t="s">
        <v>82</v>
      </c>
      <c r="B5" s="65" t="str">
        <f>VLOOKUP(A5, 'Sector Holdings'!B4:C124, 2, FALSE)</f>
        <v>SPDR Industrials ETF</v>
      </c>
      <c r="C5" s="65" t="s">
        <v>83</v>
      </c>
      <c r="D5" s="65" t="s">
        <v>260</v>
      </c>
      <c r="E5" s="68">
        <v>101.0</v>
      </c>
      <c r="F5" s="218">
        <v>92.2</v>
      </c>
      <c r="G5" s="219">
        <v>44818.0</v>
      </c>
      <c r="H5" s="230" t="str">
        <f>IF(OR(D5="Sell to Trim", D5="Sell to Close"),F5/VLOOKUP(A5, 'Sector Holdings'!B4:M124, 11, FALSE) - 1, "N/A")</f>
        <v>N/A</v>
      </c>
      <c r="I5" s="218">
        <f t="shared" si="1"/>
        <v>-9312.2</v>
      </c>
    </row>
    <row r="6" ht="15.0" customHeight="1">
      <c r="A6" s="65" t="s">
        <v>78</v>
      </c>
      <c r="B6" s="65" t="str">
        <f>VLOOKUP(A6, 'Sector Holdings'!B4:C125, 2, FALSE)</f>
        <v>SPDR Financials ETF</v>
      </c>
      <c r="C6" s="65" t="s">
        <v>79</v>
      </c>
      <c r="D6" s="65" t="s">
        <v>261</v>
      </c>
      <c r="E6" s="68">
        <v>-168.0</v>
      </c>
      <c r="F6" s="218">
        <v>33.46</v>
      </c>
      <c r="G6" s="219">
        <v>44818.0</v>
      </c>
      <c r="H6" s="230">
        <f>IF(OR(D6="Sell to Trim", D6="Sell to Close"),F6/VLOOKUP(A6, 'Sector Holdings'!B4:M125, 11, FALSE) - 1, "N/A")</f>
        <v>-0.1351770483</v>
      </c>
      <c r="I6" s="218">
        <f t="shared" si="1"/>
        <v>5621.28</v>
      </c>
    </row>
    <row r="7" ht="15.0" customHeight="1">
      <c r="A7" s="65" t="s">
        <v>86</v>
      </c>
      <c r="B7" s="65" t="str">
        <f>VLOOKUP(A7, 'Sector Holdings'!B7:C126, 2, FALSE)</f>
        <v>SPDR Technology ETF</v>
      </c>
      <c r="C7" s="65" t="s">
        <v>87</v>
      </c>
      <c r="D7" s="65" t="s">
        <v>261</v>
      </c>
      <c r="E7" s="68">
        <v>-198.0</v>
      </c>
      <c r="F7" s="218">
        <v>130.59</v>
      </c>
      <c r="G7" s="219">
        <v>44818.0</v>
      </c>
      <c r="H7" s="230">
        <f>IF(OR(D7="Sell to Trim", D7="Sell to Close"),F7/VLOOKUP(A7, 'Sector Holdings'!B7:M126, 11, FALSE) - 1, "N/A")</f>
        <v>-0.3745390105</v>
      </c>
      <c r="I7" s="218">
        <f t="shared" si="1"/>
        <v>25856.82</v>
      </c>
    </row>
    <row r="8" ht="15.0" customHeight="1">
      <c r="A8" s="23" t="s">
        <v>525</v>
      </c>
      <c r="B8" s="241" t="s">
        <v>526</v>
      </c>
      <c r="C8" s="23" t="s">
        <v>83</v>
      </c>
      <c r="D8" s="23" t="s">
        <v>253</v>
      </c>
      <c r="E8" s="23">
        <v>-486.0</v>
      </c>
      <c r="F8" s="71">
        <v>51.32</v>
      </c>
      <c r="G8" s="50">
        <v>44823.0</v>
      </c>
      <c r="H8" s="231">
        <v>-0.1673</v>
      </c>
      <c r="I8" s="71">
        <f t="shared" si="1"/>
        <v>24941.52</v>
      </c>
    </row>
    <row r="9" ht="15.0" customHeight="1">
      <c r="A9" s="23" t="s">
        <v>527</v>
      </c>
      <c r="B9" s="241" t="s">
        <v>528</v>
      </c>
      <c r="C9" s="23" t="s">
        <v>72</v>
      </c>
      <c r="D9" s="23" t="s">
        <v>253</v>
      </c>
      <c r="E9" s="23">
        <v>-535.0</v>
      </c>
      <c r="F9" s="71">
        <v>53.12</v>
      </c>
      <c r="G9" s="50">
        <v>44823.0</v>
      </c>
      <c r="H9" s="231">
        <v>-0.0932</v>
      </c>
      <c r="I9" s="71">
        <f t="shared" si="1"/>
        <v>28419.2</v>
      </c>
    </row>
    <row r="10" ht="15.0" customHeight="1">
      <c r="A10" s="23" t="s">
        <v>297</v>
      </c>
      <c r="B10" s="241" t="s">
        <v>41</v>
      </c>
      <c r="C10" s="23" t="s">
        <v>17</v>
      </c>
      <c r="D10" s="23" t="s">
        <v>264</v>
      </c>
      <c r="E10" s="23">
        <v>25.0</v>
      </c>
      <c r="F10" s="71">
        <v>1092.5</v>
      </c>
      <c r="G10" s="50">
        <v>44823.0</v>
      </c>
      <c r="H10" s="232" t="str">
        <f>IF(OR(D10="Sell to Trim", D10="Sell to Close"),F10/VLOOKUP(A10, 'Sector Holdings'!B9:M129, 11, FALSE) - 1, "N/A")</f>
        <v>N/A</v>
      </c>
      <c r="I10" s="71">
        <f t="shared" si="1"/>
        <v>-27312.5</v>
      </c>
    </row>
    <row r="11" ht="15.0" customHeight="1">
      <c r="A11" s="23" t="s">
        <v>29</v>
      </c>
      <c r="B11" s="23" t="str">
        <f>VLOOKUP(A11, 'Sector Holdings'!B7:C126, 2, FALSE)</f>
        <v>iShares Aggregate Bond ETF</v>
      </c>
      <c r="C11" s="23" t="s">
        <v>17</v>
      </c>
      <c r="D11" s="23" t="s">
        <v>261</v>
      </c>
      <c r="E11" s="23">
        <v>-99.0</v>
      </c>
      <c r="F11" s="71">
        <v>98.52</v>
      </c>
      <c r="G11" s="50">
        <v>44823.0</v>
      </c>
      <c r="H11" s="231">
        <f>IF(OR(D11="Sell to Trim", D11="Sell to Close"),F11/VLOOKUP(A11, 'Sector Holdings'!B10:M130, 11, FALSE) - 1, "N/A")</f>
        <v>-0.06695709821</v>
      </c>
      <c r="I11" s="71">
        <f t="shared" si="1"/>
        <v>9753.48</v>
      </c>
    </row>
    <row r="12" ht="15.0" customHeight="1">
      <c r="A12" s="23" t="s">
        <v>269</v>
      </c>
      <c r="B12" s="23" t="s">
        <v>516</v>
      </c>
      <c r="C12" s="23" t="s">
        <v>69</v>
      </c>
      <c r="D12" s="23" t="s">
        <v>264</v>
      </c>
      <c r="E12" s="23">
        <v>91.0</v>
      </c>
      <c r="F12" s="71">
        <v>39.96</v>
      </c>
      <c r="G12" s="50">
        <v>44823.0</v>
      </c>
      <c r="H12" s="232" t="str">
        <f>IF(OR(D12="Sell to Trim", D12="Sell to Close"),F12/VLOOKUP(A12, 'Sector Holdings'!B11:M131, 11, FALSE) - 1, "N/A")</f>
        <v>N/A</v>
      </c>
      <c r="I12" s="71">
        <f t="shared" si="1"/>
        <v>-3636.36</v>
      </c>
    </row>
    <row r="13" ht="15.0" customHeight="1">
      <c r="A13" s="23" t="s">
        <v>356</v>
      </c>
      <c r="B13" s="23" t="s">
        <v>529</v>
      </c>
      <c r="C13" s="23" t="s">
        <v>69</v>
      </c>
      <c r="D13" s="23" t="s">
        <v>264</v>
      </c>
      <c r="E13" s="23">
        <v>140.0</v>
      </c>
      <c r="F13" s="71">
        <v>26.02</v>
      </c>
      <c r="G13" s="50">
        <v>44823.0</v>
      </c>
      <c r="H13" s="232" t="str">
        <f>IF(OR(D13="Sell to Trim", D13="Sell to Close"),F13/VLOOKUP(A13, 'Sector Holdings'!B11:M132, 11, FALSE) - 1, "N/A")</f>
        <v>N/A</v>
      </c>
      <c r="I13" s="71">
        <f t="shared" si="1"/>
        <v>-3642.8</v>
      </c>
    </row>
    <row r="14" ht="15.0" customHeight="1">
      <c r="A14" s="23" t="s">
        <v>141</v>
      </c>
      <c r="B14" s="23" t="s">
        <v>530</v>
      </c>
      <c r="C14" s="23" t="s">
        <v>69</v>
      </c>
      <c r="D14" s="23" t="s">
        <v>264</v>
      </c>
      <c r="E14" s="23">
        <v>82.0</v>
      </c>
      <c r="F14" s="71">
        <v>44.37</v>
      </c>
      <c r="G14" s="50">
        <v>44823.0</v>
      </c>
      <c r="H14" s="232" t="str">
        <f>IF(OR(D14="Sell to Trim", D14="Sell to Close"),F14/VLOOKUP(A14, 'Sector Holdings'!B11:M133, 11, FALSE) - 1, "N/A")</f>
        <v>N/A</v>
      </c>
      <c r="I14" s="71">
        <f t="shared" si="1"/>
        <v>-3638.34</v>
      </c>
    </row>
    <row r="15" ht="15.0" customHeight="1">
      <c r="A15" s="23" t="s">
        <v>103</v>
      </c>
      <c r="B15" s="23" t="str">
        <f>VLOOKUP(A15, 'Sector Holdings'!B10:C130, 2, FALSE)</f>
        <v>Principal Financial Group Inc</v>
      </c>
      <c r="C15" s="23" t="s">
        <v>69</v>
      </c>
      <c r="D15" s="23" t="s">
        <v>264</v>
      </c>
      <c r="E15" s="23">
        <v>47.0</v>
      </c>
      <c r="F15" s="71">
        <v>77.13</v>
      </c>
      <c r="G15" s="50">
        <v>44823.0</v>
      </c>
      <c r="H15" s="232" t="str">
        <f>IF(OR(D15="Sell to Trim", D15="Sell to Close"),F15/VLOOKUP(A15, 'Sector Holdings'!B11:M134, 11, FALSE) - 1, "N/A")</f>
        <v>N/A</v>
      </c>
      <c r="I15" s="71">
        <f t="shared" si="1"/>
        <v>-3625.11</v>
      </c>
    </row>
    <row r="16" ht="15.0" customHeight="1">
      <c r="A16" s="23" t="s">
        <v>531</v>
      </c>
      <c r="B16" s="23" t="s">
        <v>532</v>
      </c>
      <c r="C16" s="23" t="s">
        <v>69</v>
      </c>
      <c r="D16" s="23" t="s">
        <v>264</v>
      </c>
      <c r="E16" s="23">
        <v>56.0</v>
      </c>
      <c r="F16" s="71">
        <v>65.0</v>
      </c>
      <c r="G16" s="50">
        <v>44823.0</v>
      </c>
      <c r="H16" s="232" t="str">
        <f>IF(OR(D16="Sell to Trim", D16="Sell to Close"),F16/VLOOKUP(A16, 'Sector Holdings'!B14:M135, 11, FALSE) - 1, "N/A")</f>
        <v>N/A</v>
      </c>
      <c r="I16" s="71">
        <f t="shared" si="1"/>
        <v>-3640</v>
      </c>
    </row>
    <row r="17" ht="15.0" customHeight="1">
      <c r="A17" s="65" t="s">
        <v>125</v>
      </c>
      <c r="B17" s="65" t="str">
        <f>VLOOKUP(A17, 'Sector Holdings'!B11:C132, 2, FALSE)</f>
        <v>#N/A</v>
      </c>
      <c r="C17" s="65" t="s">
        <v>87</v>
      </c>
      <c r="D17" s="65" t="s">
        <v>264</v>
      </c>
      <c r="E17" s="65">
        <v>151.0</v>
      </c>
      <c r="F17" s="218">
        <v>174.5</v>
      </c>
      <c r="G17" s="219">
        <v>44827.0</v>
      </c>
      <c r="H17" s="230" t="str">
        <f>IF(OR(D17="Sell to Trim", D17="Sell to Close"),F17/VLOOKUP(A17, 'Sector Holdings'!B15:M136, 11, FALSE) - 1, "N/A")</f>
        <v>N/A</v>
      </c>
      <c r="I17" s="218">
        <f t="shared" si="1"/>
        <v>-26349.5</v>
      </c>
    </row>
    <row r="18" ht="15.0" customHeight="1">
      <c r="A18" s="65" t="s">
        <v>24</v>
      </c>
      <c r="B18" s="65" t="str">
        <f>VLOOKUP(A18, 'Sector Holdings'!B11:C133, 2, FALSE)</f>
        <v>BTI 4.448 03/16/28 Corp</v>
      </c>
      <c r="C18" s="65" t="s">
        <v>17</v>
      </c>
      <c r="D18" s="65" t="s">
        <v>264</v>
      </c>
      <c r="E18" s="65">
        <v>29.0</v>
      </c>
      <c r="F18" s="218">
        <v>907.92</v>
      </c>
      <c r="G18" s="219">
        <v>44830.0</v>
      </c>
      <c r="H18" s="230" t="str">
        <f>IF(OR(D18="Sell to Trim", D18="Sell to Close"),F18/VLOOKUP(A18, 'Sector Holdings'!B15:M137, 11, FALSE) - 1, "N/A")</f>
        <v>N/A</v>
      </c>
      <c r="I18" s="218">
        <f t="shared" si="1"/>
        <v>-26329.68</v>
      </c>
    </row>
    <row r="19" ht="15.0" customHeight="1">
      <c r="A19" s="65" t="s">
        <v>29</v>
      </c>
      <c r="B19" s="65" t="str">
        <f>VLOOKUP(A19, 'Sector Holdings'!B14:C135, 2, FALSE)</f>
        <v>iShares Aggregate Bond ETF</v>
      </c>
      <c r="C19" s="65" t="s">
        <v>17</v>
      </c>
      <c r="D19" s="65" t="s">
        <v>261</v>
      </c>
      <c r="E19" s="65">
        <v>-272.0</v>
      </c>
      <c r="F19" s="218">
        <v>97.22</v>
      </c>
      <c r="G19" s="219">
        <v>44827.0</v>
      </c>
      <c r="H19" s="230">
        <f>IF(OR(D19="Sell to Trim", D19="Sell to Close"),F19/VLOOKUP(A19, 'Sector Holdings'!B16:M138, 11, FALSE) - 1, "N/A")</f>
        <v>-0.07926887016</v>
      </c>
      <c r="I19" s="218">
        <f t="shared" si="1"/>
        <v>26443.84</v>
      </c>
    </row>
    <row r="20" ht="15.0" customHeight="1">
      <c r="A20" s="65" t="s">
        <v>533</v>
      </c>
      <c r="B20" s="65" t="s">
        <v>534</v>
      </c>
      <c r="C20" s="65" t="s">
        <v>77</v>
      </c>
      <c r="D20" s="65" t="s">
        <v>253</v>
      </c>
      <c r="E20" s="65">
        <v>-524.0</v>
      </c>
      <c r="F20" s="218">
        <v>34.18</v>
      </c>
      <c r="G20" s="219">
        <v>44827.0</v>
      </c>
      <c r="H20" s="230">
        <v>0.3878</v>
      </c>
      <c r="I20" s="218">
        <f t="shared" si="1"/>
        <v>17910.32</v>
      </c>
    </row>
    <row r="21" ht="15.0" customHeight="1">
      <c r="A21" s="65" t="s">
        <v>517</v>
      </c>
      <c r="B21" s="65" t="str">
        <f>VLOOKUP(A21, 'Sector Holdings'!$B$15:$C$136, 2, FALSE)</f>
        <v>#N/A</v>
      </c>
      <c r="C21" s="65" t="s">
        <v>77</v>
      </c>
      <c r="D21" s="65" t="s">
        <v>264</v>
      </c>
      <c r="E21" s="65">
        <v>897.0</v>
      </c>
      <c r="F21" s="218">
        <v>19.94</v>
      </c>
      <c r="G21" s="219">
        <v>44827.0</v>
      </c>
      <c r="H21" s="230" t="str">
        <f>IF(OR(D21="Sell to Trim", D21="Sell to Close"),F21/VLOOKUP(A21, 'Sector Holdings'!B18:M140, 11, FALSE) - 1, "N/A")</f>
        <v>N/A</v>
      </c>
      <c r="I21" s="218">
        <f t="shared" si="1"/>
        <v>-17886.18</v>
      </c>
    </row>
    <row r="22" ht="15.0" customHeight="1">
      <c r="A22" s="23" t="s">
        <v>535</v>
      </c>
      <c r="B22" s="18" t="s">
        <v>536</v>
      </c>
      <c r="C22" s="23" t="s">
        <v>74</v>
      </c>
      <c r="D22" s="23" t="s">
        <v>253</v>
      </c>
      <c r="E22" s="23">
        <v>-1258.0</v>
      </c>
      <c r="F22" s="242">
        <v>8.63</v>
      </c>
      <c r="G22" s="51">
        <v>44837.0</v>
      </c>
      <c r="H22" s="231">
        <v>-0.6562</v>
      </c>
      <c r="I22" s="71">
        <f t="shared" ref="I22:I71" si="2">E22*F22*-1</f>
        <v>10856.54</v>
      </c>
    </row>
    <row r="23" ht="15.0" customHeight="1">
      <c r="A23" s="65" t="s">
        <v>86</v>
      </c>
      <c r="B23" s="65" t="str">
        <f>VLOOKUP(A23, 'Sector Holdings'!$B$15:$C$136, 2, FALSE)</f>
        <v>SPDR Technology ETF</v>
      </c>
      <c r="C23" s="65" t="s">
        <v>87</v>
      </c>
      <c r="D23" s="65" t="s">
        <v>261</v>
      </c>
      <c r="E23" s="65">
        <v>-84.0</v>
      </c>
      <c r="F23" s="218">
        <v>119.64</v>
      </c>
      <c r="G23" s="221">
        <v>44844.0</v>
      </c>
      <c r="H23" s="230">
        <f>IF(OR(D23="Sell to Trim", D23="Sell to Close"),F23/VLOOKUP(A23, 'Sector Holdings'!B16:M138, 11, FALSE) - 1, "N/A")</f>
        <v>-0.426984051</v>
      </c>
      <c r="I23" s="218">
        <f t="shared" si="2"/>
        <v>10049.76</v>
      </c>
    </row>
    <row r="24" ht="15.0" customHeight="1">
      <c r="A24" s="65" t="s">
        <v>126</v>
      </c>
      <c r="B24" s="65" t="str">
        <f>VLOOKUP(A24, 'Sector Holdings'!$B$15:$C$136, 2, FALSE)</f>
        <v>Synopsys Inc.</v>
      </c>
      <c r="C24" s="65" t="s">
        <v>87</v>
      </c>
      <c r="D24" s="65" t="s">
        <v>264</v>
      </c>
      <c r="E24" s="65">
        <v>87.0</v>
      </c>
      <c r="F24" s="218">
        <v>302.61</v>
      </c>
      <c r="G24" s="221">
        <v>44844.0</v>
      </c>
      <c r="H24" s="239" t="s">
        <v>278</v>
      </c>
      <c r="I24" s="218">
        <f t="shared" si="2"/>
        <v>-26327.07</v>
      </c>
    </row>
    <row r="25" ht="15.0" customHeight="1">
      <c r="A25" s="65" t="s">
        <v>537</v>
      </c>
      <c r="B25" s="65" t="s">
        <v>538</v>
      </c>
      <c r="C25" s="65" t="s">
        <v>91</v>
      </c>
      <c r="D25" s="65" t="s">
        <v>253</v>
      </c>
      <c r="E25" s="65">
        <v>-1725.0</v>
      </c>
      <c r="F25" s="218">
        <v>7.961</v>
      </c>
      <c r="G25" s="219">
        <v>44844.0</v>
      </c>
      <c r="H25" s="230">
        <v>-0.5099</v>
      </c>
      <c r="I25" s="218">
        <f t="shared" si="2"/>
        <v>13732.725</v>
      </c>
    </row>
    <row r="26" ht="15.0" customHeight="1">
      <c r="A26" s="23" t="s">
        <v>539</v>
      </c>
      <c r="B26" s="23" t="s">
        <v>540</v>
      </c>
      <c r="C26" s="23" t="s">
        <v>17</v>
      </c>
      <c r="D26" s="23" t="s">
        <v>253</v>
      </c>
      <c r="E26" s="23">
        <v>-25.0</v>
      </c>
      <c r="F26" s="71">
        <v>974.3</v>
      </c>
      <c r="G26" s="50">
        <v>44852.0</v>
      </c>
      <c r="H26" s="238">
        <v>-0.12</v>
      </c>
      <c r="I26" s="71">
        <f t="shared" si="2"/>
        <v>24357.5</v>
      </c>
    </row>
    <row r="27" ht="15.0" customHeight="1">
      <c r="A27" s="23" t="s">
        <v>134</v>
      </c>
      <c r="B27" s="23" t="str">
        <f>VLOOKUP(A27, 'Sector Holdings'!$B$15:$C$136, 2, FALSE)</f>
        <v>Constellation Energy Corp</v>
      </c>
      <c r="C27" s="23" t="s">
        <v>91</v>
      </c>
      <c r="D27" s="23" t="s">
        <v>264</v>
      </c>
      <c r="E27" s="23">
        <v>305.0</v>
      </c>
      <c r="F27" s="71">
        <v>86.69</v>
      </c>
      <c r="G27" s="50">
        <v>44852.0</v>
      </c>
      <c r="H27" s="232" t="s">
        <v>278</v>
      </c>
      <c r="I27" s="71">
        <f t="shared" si="2"/>
        <v>-26440.45</v>
      </c>
    </row>
    <row r="28" ht="15.0" customHeight="1">
      <c r="A28" s="23" t="s">
        <v>356</v>
      </c>
      <c r="B28" s="23" t="s">
        <v>529</v>
      </c>
      <c r="C28" s="23" t="s">
        <v>69</v>
      </c>
      <c r="D28" s="23" t="s">
        <v>253</v>
      </c>
      <c r="E28" s="23">
        <v>-140.0</v>
      </c>
      <c r="F28" s="71">
        <v>27.79</v>
      </c>
      <c r="G28" s="50">
        <v>44852.0</v>
      </c>
      <c r="H28" s="231">
        <f>(F28*E28)/(26.01*E28)-1</f>
        <v>0.06843521722</v>
      </c>
      <c r="I28" s="71">
        <f t="shared" si="2"/>
        <v>3890.6</v>
      </c>
    </row>
    <row r="29" ht="15.0" customHeight="1">
      <c r="A29" s="23" t="s">
        <v>141</v>
      </c>
      <c r="B29" s="23" t="s">
        <v>541</v>
      </c>
      <c r="C29" s="23" t="s">
        <v>69</v>
      </c>
      <c r="D29" s="23" t="s">
        <v>253</v>
      </c>
      <c r="E29" s="23">
        <v>-83.0</v>
      </c>
      <c r="F29" s="71">
        <v>42.69</v>
      </c>
      <c r="G29" s="50">
        <v>44852.0</v>
      </c>
      <c r="H29" s="231">
        <f>(F29*E29)/(44.37*E29)-1</f>
        <v>-0.03786342123</v>
      </c>
      <c r="I29" s="71">
        <f t="shared" si="2"/>
        <v>3543.27</v>
      </c>
    </row>
    <row r="30" ht="15.0" customHeight="1">
      <c r="A30" s="23" t="s">
        <v>531</v>
      </c>
      <c r="B30" s="23" t="s">
        <v>532</v>
      </c>
      <c r="C30" s="23" t="s">
        <v>69</v>
      </c>
      <c r="D30" s="23" t="s">
        <v>253</v>
      </c>
      <c r="E30" s="23">
        <v>-56.0</v>
      </c>
      <c r="F30" s="71">
        <v>67.86</v>
      </c>
      <c r="G30" s="50">
        <v>44852.0</v>
      </c>
      <c r="H30" s="231">
        <f>(F30*E30)/(65*E30)-1</f>
        <v>0.044</v>
      </c>
      <c r="I30" s="71">
        <f t="shared" si="2"/>
        <v>3800.16</v>
      </c>
    </row>
    <row r="31" ht="15.0" customHeight="1">
      <c r="A31" s="23" t="s">
        <v>269</v>
      </c>
      <c r="B31" s="23" t="s">
        <v>516</v>
      </c>
      <c r="C31" s="23" t="s">
        <v>69</v>
      </c>
      <c r="D31" s="23" t="s">
        <v>253</v>
      </c>
      <c r="E31" s="23">
        <v>-91.0</v>
      </c>
      <c r="F31" s="71">
        <v>34.57</v>
      </c>
      <c r="G31" s="50">
        <v>44852.0</v>
      </c>
      <c r="H31" s="231">
        <f>(F31*E31)/(39.96*E31)-1</f>
        <v>-0.1348848849</v>
      </c>
      <c r="I31" s="71">
        <f t="shared" si="2"/>
        <v>3145.87</v>
      </c>
    </row>
    <row r="32" ht="15.0" customHeight="1">
      <c r="A32" s="23" t="s">
        <v>485</v>
      </c>
      <c r="B32" s="23" t="str">
        <f>VLOOKUP(A32, 'Sector Holdings'!$B$15:$C$136, 2, FALSE)</f>
        <v>#N/A</v>
      </c>
      <c r="C32" s="23" t="s">
        <v>69</v>
      </c>
      <c r="D32" s="23" t="s">
        <v>264</v>
      </c>
      <c r="E32" s="23">
        <v>52.0</v>
      </c>
      <c r="F32" s="71">
        <v>67.72</v>
      </c>
      <c r="G32" s="50">
        <v>44852.0</v>
      </c>
      <c r="H32" s="232" t="s">
        <v>278</v>
      </c>
      <c r="I32" s="71">
        <f t="shared" si="2"/>
        <v>-3521.44</v>
      </c>
    </row>
    <row r="33" ht="15.0" customHeight="1">
      <c r="A33" s="23" t="s">
        <v>471</v>
      </c>
      <c r="B33" s="23" t="str">
        <f>VLOOKUP(A33, 'Sector Holdings'!$B$15:$C$136, 2, FALSE)</f>
        <v>#N/A</v>
      </c>
      <c r="C33" s="23" t="s">
        <v>69</v>
      </c>
      <c r="D33" s="23" t="s">
        <v>264</v>
      </c>
      <c r="E33" s="23">
        <v>126.0</v>
      </c>
      <c r="F33" s="71">
        <v>27.93</v>
      </c>
      <c r="G33" s="50">
        <v>44852.0</v>
      </c>
      <c r="H33" s="232" t="s">
        <v>278</v>
      </c>
      <c r="I33" s="71">
        <f t="shared" si="2"/>
        <v>-3519.18</v>
      </c>
    </row>
    <row r="34" ht="15.0" customHeight="1">
      <c r="A34" s="23" t="s">
        <v>542</v>
      </c>
      <c r="B34" s="23" t="str">
        <f>VLOOKUP(A34, 'Sector Holdings'!$B$15:$C$136, 2, FALSE)</f>
        <v>#N/A</v>
      </c>
      <c r="C34" s="23" t="s">
        <v>69</v>
      </c>
      <c r="D34" s="23" t="s">
        <v>264</v>
      </c>
      <c r="E34" s="23">
        <v>106.0</v>
      </c>
      <c r="F34" s="71">
        <v>33.15</v>
      </c>
      <c r="G34" s="50">
        <v>44852.0</v>
      </c>
      <c r="H34" s="232" t="s">
        <v>278</v>
      </c>
      <c r="I34" s="71">
        <f t="shared" si="2"/>
        <v>-3513.9</v>
      </c>
    </row>
    <row r="35" ht="15.0" customHeight="1">
      <c r="A35" s="23" t="s">
        <v>138</v>
      </c>
      <c r="B35" s="23" t="str">
        <f>VLOOKUP(A35, 'Sector Holdings'!$B$15:$C$136, 2, FALSE)</f>
        <v>#N/A</v>
      </c>
      <c r="C35" s="23" t="s">
        <v>69</v>
      </c>
      <c r="D35" s="23" t="s">
        <v>264</v>
      </c>
      <c r="E35" s="23">
        <v>33.0</v>
      </c>
      <c r="F35" s="71">
        <v>107.45</v>
      </c>
      <c r="G35" s="50">
        <v>44852.0</v>
      </c>
      <c r="H35" s="232" t="s">
        <v>278</v>
      </c>
      <c r="I35" s="71">
        <f t="shared" si="2"/>
        <v>-3545.85</v>
      </c>
    </row>
    <row r="36" ht="15.0" customHeight="1">
      <c r="A36" s="65" t="s">
        <v>97</v>
      </c>
      <c r="B36" s="65" t="s">
        <v>543</v>
      </c>
      <c r="C36" s="65" t="s">
        <v>74</v>
      </c>
      <c r="D36" s="65" t="s">
        <v>264</v>
      </c>
      <c r="E36" s="65">
        <v>300.0</v>
      </c>
      <c r="F36" s="218">
        <v>90.34</v>
      </c>
      <c r="G36" s="219">
        <v>44862.0</v>
      </c>
      <c r="H36" s="239" t="s">
        <v>278</v>
      </c>
      <c r="I36" s="218">
        <f t="shared" si="2"/>
        <v>-27102</v>
      </c>
    </row>
    <row r="37" ht="15.0" customHeight="1">
      <c r="A37" s="65" t="s">
        <v>73</v>
      </c>
      <c r="B37" s="65" t="s">
        <v>168</v>
      </c>
      <c r="C37" s="65" t="s">
        <v>74</v>
      </c>
      <c r="D37" s="65" t="s">
        <v>261</v>
      </c>
      <c r="E37" s="65">
        <v>-154.0</v>
      </c>
      <c r="F37" s="218">
        <v>72.08</v>
      </c>
      <c r="G37" s="219">
        <v>44862.0</v>
      </c>
      <c r="H37" s="230"/>
      <c r="I37" s="218">
        <f t="shared" si="2"/>
        <v>11100.32</v>
      </c>
    </row>
    <row r="38" ht="15.0" customHeight="1">
      <c r="A38" s="65" t="s">
        <v>116</v>
      </c>
      <c r="B38" s="65" t="str">
        <f>VLOOKUP(A38, 'Sector Holdings'!$B$15:$C$136, 2, FALSE)</f>
        <v>#N/A</v>
      </c>
      <c r="C38" s="65" t="s">
        <v>83</v>
      </c>
      <c r="D38" s="65" t="s">
        <v>264</v>
      </c>
      <c r="E38" s="65">
        <v>69.0</v>
      </c>
      <c r="F38" s="218">
        <v>394.12</v>
      </c>
      <c r="G38" s="219">
        <v>44862.0</v>
      </c>
      <c r="H38" s="239" t="s">
        <v>278</v>
      </c>
      <c r="I38" s="218">
        <f t="shared" si="2"/>
        <v>-27194.28</v>
      </c>
    </row>
    <row r="39" ht="15.0" customHeight="1">
      <c r="A39" s="65" t="s">
        <v>82</v>
      </c>
      <c r="B39" s="65" t="str">
        <f>VLOOKUP(A39, 'Sector Holdings'!$B$15:$C$136, 2, FALSE)</f>
        <v>SPDR Industrials ETF</v>
      </c>
      <c r="C39" s="65" t="s">
        <v>83</v>
      </c>
      <c r="D39" s="65" t="s">
        <v>261</v>
      </c>
      <c r="E39" s="65">
        <v>-21.0</v>
      </c>
      <c r="F39" s="218">
        <v>92.93</v>
      </c>
      <c r="G39" s="219">
        <v>44862.0</v>
      </c>
      <c r="H39" s="230"/>
      <c r="I39" s="218">
        <f t="shared" si="2"/>
        <v>1951.53</v>
      </c>
    </row>
    <row r="40" ht="15.0" customHeight="1">
      <c r="A40" s="23" t="s">
        <v>544</v>
      </c>
      <c r="B40" s="23" t="str">
        <f>VLOOKUP(A40, 'Sector Holdings'!$B$15:$C$136, 2, FALSE)</f>
        <v>#N/A</v>
      </c>
      <c r="C40" s="23" t="s">
        <v>91</v>
      </c>
      <c r="D40" s="23" t="s">
        <v>253</v>
      </c>
      <c r="E40" s="23">
        <v>-181.0</v>
      </c>
      <c r="F40" s="71">
        <v>57.29</v>
      </c>
      <c r="G40" s="50">
        <v>44869.0</v>
      </c>
      <c r="H40" s="231">
        <v>0.072</v>
      </c>
      <c r="I40" s="71">
        <f t="shared" si="2"/>
        <v>10369.49</v>
      </c>
    </row>
    <row r="41" ht="15.0" customHeight="1">
      <c r="A41" s="23" t="s">
        <v>90</v>
      </c>
      <c r="B41" s="23" t="str">
        <f>VLOOKUP(A41, 'Sector Holdings'!$B$15:$C$136, 2, FALSE)</f>
        <v>SPDR Utilities ETF</v>
      </c>
      <c r="C41" s="23" t="s">
        <v>91</v>
      </c>
      <c r="D41" s="23" t="s">
        <v>260</v>
      </c>
      <c r="E41" s="23">
        <v>155.0</v>
      </c>
      <c r="F41" s="71">
        <v>67.0</v>
      </c>
      <c r="G41" s="50">
        <v>44869.0</v>
      </c>
      <c r="H41" s="232" t="s">
        <v>278</v>
      </c>
      <c r="I41" s="71">
        <f t="shared" si="2"/>
        <v>-10385</v>
      </c>
    </row>
    <row r="42" ht="15.0" customHeight="1">
      <c r="A42" s="23" t="s">
        <v>102</v>
      </c>
      <c r="B42" s="23" t="str">
        <f>VLOOKUP(A42, 'Sector Holdings'!$B$15:$C$136, 2, FALSE)</f>
        <v>#N/A</v>
      </c>
      <c r="C42" s="23" t="s">
        <v>79</v>
      </c>
      <c r="D42" s="23" t="s">
        <v>261</v>
      </c>
      <c r="E42" s="23">
        <v>-76.0</v>
      </c>
      <c r="F42" s="71">
        <v>85.23</v>
      </c>
      <c r="G42" s="50">
        <v>44869.0</v>
      </c>
      <c r="H42" s="231"/>
      <c r="I42" s="71">
        <f t="shared" si="2"/>
        <v>6477.48</v>
      </c>
    </row>
    <row r="43" ht="15.0" customHeight="1">
      <c r="A43" s="23" t="s">
        <v>545</v>
      </c>
      <c r="B43" s="23" t="s">
        <v>546</v>
      </c>
      <c r="C43" s="23" t="s">
        <v>17</v>
      </c>
      <c r="D43" s="23" t="s">
        <v>253</v>
      </c>
      <c r="E43" s="23">
        <v>-757.0</v>
      </c>
      <c r="F43" s="71">
        <v>21.08</v>
      </c>
      <c r="G43" s="50">
        <v>44869.0</v>
      </c>
      <c r="H43" s="231">
        <v>-0.165</v>
      </c>
      <c r="I43" s="71">
        <f t="shared" si="2"/>
        <v>15957.56</v>
      </c>
    </row>
    <row r="44" ht="15.0" customHeight="1">
      <c r="A44" s="65" t="s">
        <v>95</v>
      </c>
      <c r="B44" s="65" t="s">
        <v>158</v>
      </c>
      <c r="C44" s="65" t="s">
        <v>72</v>
      </c>
      <c r="D44" s="65" t="s">
        <v>264</v>
      </c>
      <c r="E44" s="65">
        <v>288.0</v>
      </c>
      <c r="F44" s="218">
        <v>97.8</v>
      </c>
      <c r="G44" s="219">
        <v>44883.0</v>
      </c>
      <c r="H44" s="239" t="s">
        <v>278</v>
      </c>
      <c r="I44" s="218">
        <f t="shared" si="2"/>
        <v>-28166.4</v>
      </c>
    </row>
    <row r="45" ht="15.0" customHeight="1">
      <c r="A45" s="65" t="s">
        <v>71</v>
      </c>
      <c r="B45" s="65" t="s">
        <v>547</v>
      </c>
      <c r="C45" s="65" t="s">
        <v>72</v>
      </c>
      <c r="D45" s="65" t="s">
        <v>261</v>
      </c>
      <c r="E45" s="65">
        <v>-18.0</v>
      </c>
      <c r="F45" s="218">
        <v>140.55</v>
      </c>
      <c r="G45" s="219">
        <v>44883.0</v>
      </c>
      <c r="H45" s="230">
        <v>-0.2065</v>
      </c>
      <c r="I45" s="218">
        <f t="shared" si="2"/>
        <v>2529.9</v>
      </c>
    </row>
    <row r="46" ht="15.0" customHeight="1">
      <c r="A46" s="65" t="s">
        <v>481</v>
      </c>
      <c r="B46" s="65" t="str">
        <f>VLOOKUP(A46, 'Sector Holdings'!$B$15:$C$136, 2, FALSE)</f>
        <v>#N/A</v>
      </c>
      <c r="C46" s="65" t="s">
        <v>81</v>
      </c>
      <c r="D46" s="65" t="s">
        <v>264</v>
      </c>
      <c r="E46" s="65">
        <v>365.0</v>
      </c>
      <c r="F46" s="218">
        <v>77.38</v>
      </c>
      <c r="G46" s="219">
        <v>44883.0</v>
      </c>
      <c r="H46" s="239" t="s">
        <v>278</v>
      </c>
      <c r="I46" s="218">
        <f t="shared" si="2"/>
        <v>-28243.7</v>
      </c>
    </row>
    <row r="47" ht="15.0" customHeight="1">
      <c r="A47" s="65" t="s">
        <v>80</v>
      </c>
      <c r="B47" s="65" t="str">
        <f>VLOOKUP(A47, 'Sector Holdings'!$B$15:$C$136, 2, FALSE)</f>
        <v>SPDR Healthcare ETF</v>
      </c>
      <c r="C47" s="65" t="s">
        <v>81</v>
      </c>
      <c r="D47" s="65" t="s">
        <v>261</v>
      </c>
      <c r="E47" s="65">
        <v>-210.0</v>
      </c>
      <c r="F47" s="218">
        <v>134.36</v>
      </c>
      <c r="G47" s="219">
        <v>44883.0</v>
      </c>
      <c r="H47" s="230">
        <v>0.075</v>
      </c>
      <c r="I47" s="218">
        <f t="shared" si="2"/>
        <v>28215.6</v>
      </c>
    </row>
    <row r="48" ht="15.75" customHeight="1">
      <c r="A48" s="65" t="s">
        <v>426</v>
      </c>
      <c r="B48" s="65" t="str">
        <f>VLOOKUP(A48, 'Sector Holdings'!$B$15:$C$136, 2, FALSE)</f>
        <v>#N/A</v>
      </c>
      <c r="C48" s="65" t="s">
        <v>91</v>
      </c>
      <c r="D48" s="65" t="s">
        <v>264</v>
      </c>
      <c r="E48" s="65">
        <v>153.0</v>
      </c>
      <c r="F48" s="218">
        <v>146.95</v>
      </c>
      <c r="G48" s="219">
        <v>44883.0</v>
      </c>
      <c r="H48" s="239" t="s">
        <v>278</v>
      </c>
      <c r="I48" s="218">
        <f t="shared" si="2"/>
        <v>-22483.35</v>
      </c>
    </row>
    <row r="49" ht="15.75" customHeight="1">
      <c r="A49" s="65" t="s">
        <v>90</v>
      </c>
      <c r="B49" s="65" t="str">
        <f>VLOOKUP(A49, 'Sector Holdings'!$B$15:$C$136, 2, FALSE)</f>
        <v>SPDR Utilities ETF</v>
      </c>
      <c r="C49" s="65" t="s">
        <v>91</v>
      </c>
      <c r="D49" s="65" t="s">
        <v>253</v>
      </c>
      <c r="E49" s="65">
        <v>-328.0</v>
      </c>
      <c r="F49" s="218">
        <v>68.65</v>
      </c>
      <c r="G49" s="219">
        <v>44883.0</v>
      </c>
      <c r="H49" s="230">
        <v>-0.056</v>
      </c>
      <c r="I49" s="218">
        <f t="shared" si="2"/>
        <v>22517.2</v>
      </c>
    </row>
    <row r="50" ht="15.75" customHeight="1">
      <c r="A50" s="65" t="s">
        <v>485</v>
      </c>
      <c r="B50" s="65" t="s">
        <v>548</v>
      </c>
      <c r="C50" s="65" t="s">
        <v>69</v>
      </c>
      <c r="D50" s="65" t="s">
        <v>253</v>
      </c>
      <c r="E50" s="65">
        <v>-52.0</v>
      </c>
      <c r="F50" s="218">
        <v>73.34</v>
      </c>
      <c r="G50" s="219">
        <v>44883.0</v>
      </c>
      <c r="H50" s="230">
        <v>0.0834</v>
      </c>
      <c r="I50" s="218">
        <f t="shared" si="2"/>
        <v>3813.68</v>
      </c>
    </row>
    <row r="51" ht="15.75" customHeight="1">
      <c r="A51" s="65" t="s">
        <v>471</v>
      </c>
      <c r="B51" s="65" t="s">
        <v>549</v>
      </c>
      <c r="C51" s="65" t="s">
        <v>69</v>
      </c>
      <c r="D51" s="65" t="s">
        <v>253</v>
      </c>
      <c r="E51" s="65">
        <v>-126.0</v>
      </c>
      <c r="F51" s="218">
        <v>28.29</v>
      </c>
      <c r="G51" s="219">
        <v>44883.0</v>
      </c>
      <c r="H51" s="230">
        <v>0.0122</v>
      </c>
      <c r="I51" s="218">
        <f t="shared" si="2"/>
        <v>3564.54</v>
      </c>
    </row>
    <row r="52" ht="15.75" customHeight="1">
      <c r="A52" s="65" t="s">
        <v>542</v>
      </c>
      <c r="B52" s="65" t="s">
        <v>550</v>
      </c>
      <c r="C52" s="65" t="s">
        <v>69</v>
      </c>
      <c r="D52" s="65" t="s">
        <v>253</v>
      </c>
      <c r="E52" s="65">
        <v>-106.0</v>
      </c>
      <c r="F52" s="218">
        <v>35.79</v>
      </c>
      <c r="G52" s="219">
        <v>44883.0</v>
      </c>
      <c r="H52" s="230">
        <v>0.0793</v>
      </c>
      <c r="I52" s="218">
        <f t="shared" si="2"/>
        <v>3793.74</v>
      </c>
    </row>
    <row r="53" ht="15.75" customHeight="1">
      <c r="A53" s="65" t="s">
        <v>103</v>
      </c>
      <c r="B53" s="65" t="str">
        <f>VLOOKUP(A53, 'Sector Holdings'!$B$15:$C$136, 2, FALSE)</f>
        <v>Principal Financial Group Inc</v>
      </c>
      <c r="C53" s="65" t="s">
        <v>69</v>
      </c>
      <c r="D53" s="65" t="s">
        <v>253</v>
      </c>
      <c r="E53" s="65">
        <v>-47.0</v>
      </c>
      <c r="F53" s="218">
        <v>90.78</v>
      </c>
      <c r="G53" s="219">
        <v>44883.0</v>
      </c>
      <c r="H53" s="230">
        <v>0.179</v>
      </c>
      <c r="I53" s="218">
        <f t="shared" si="2"/>
        <v>4266.66</v>
      </c>
    </row>
    <row r="54" ht="15.75" customHeight="1">
      <c r="A54" s="65" t="s">
        <v>233</v>
      </c>
      <c r="B54" s="65" t="str">
        <f>VLOOKUP(A54, 'Sector Holdings'!$B$15:$C$136, 2, FALSE)</f>
        <v>Viatris Inc</v>
      </c>
      <c r="C54" s="65" t="s">
        <v>69</v>
      </c>
      <c r="D54" s="65" t="s">
        <v>264</v>
      </c>
      <c r="E54" s="65">
        <v>353.0</v>
      </c>
      <c r="F54" s="218">
        <v>10.93</v>
      </c>
      <c r="G54" s="219">
        <v>44883.0</v>
      </c>
      <c r="H54" s="239" t="s">
        <v>278</v>
      </c>
      <c r="I54" s="218">
        <f t="shared" si="2"/>
        <v>-3858.29</v>
      </c>
    </row>
    <row r="55" ht="15.75" customHeight="1">
      <c r="A55" s="65" t="s">
        <v>551</v>
      </c>
      <c r="B55" s="65" t="str">
        <f>VLOOKUP(A55, 'Sector Holdings'!$B$15:$C$136, 2, FALSE)</f>
        <v>#N/A</v>
      </c>
      <c r="C55" s="65" t="s">
        <v>69</v>
      </c>
      <c r="D55" s="65" t="s">
        <v>264</v>
      </c>
      <c r="E55" s="65">
        <v>64.0</v>
      </c>
      <c r="F55" s="218">
        <v>59.92</v>
      </c>
      <c r="G55" s="219">
        <v>44883.0</v>
      </c>
      <c r="H55" s="239" t="s">
        <v>278</v>
      </c>
      <c r="I55" s="218">
        <f t="shared" si="2"/>
        <v>-3834.88</v>
      </c>
    </row>
    <row r="56" ht="15.75" customHeight="1">
      <c r="A56" s="65" t="s">
        <v>552</v>
      </c>
      <c r="B56" s="65" t="str">
        <f>VLOOKUP(A56, 'Sector Holdings'!$B$15:$C$136, 2, FALSE)</f>
        <v>#N/A</v>
      </c>
      <c r="C56" s="65" t="s">
        <v>69</v>
      </c>
      <c r="D56" s="65" t="s">
        <v>264</v>
      </c>
      <c r="E56" s="65">
        <v>85.0</v>
      </c>
      <c r="F56" s="218">
        <v>45.65</v>
      </c>
      <c r="G56" s="219">
        <v>44883.0</v>
      </c>
      <c r="H56" s="239" t="s">
        <v>278</v>
      </c>
      <c r="I56" s="218">
        <f t="shared" si="2"/>
        <v>-3880.25</v>
      </c>
    </row>
    <row r="57" ht="15.75" customHeight="1">
      <c r="A57" s="65" t="s">
        <v>432</v>
      </c>
      <c r="B57" s="65" t="str">
        <f>VLOOKUP(A57, 'Sector Holdings'!$B$15:$C$136, 2, FALSE)</f>
        <v>#N/A</v>
      </c>
      <c r="C57" s="65" t="s">
        <v>69</v>
      </c>
      <c r="D57" s="65" t="s">
        <v>264</v>
      </c>
      <c r="E57" s="65">
        <v>247.0</v>
      </c>
      <c r="F57" s="218">
        <v>15.65</v>
      </c>
      <c r="G57" s="219">
        <v>44883.0</v>
      </c>
      <c r="H57" s="239" t="s">
        <v>278</v>
      </c>
      <c r="I57" s="218">
        <f t="shared" si="2"/>
        <v>-3865.55</v>
      </c>
    </row>
    <row r="58" ht="15.75" customHeight="1">
      <c r="A58" s="23" t="s">
        <v>553</v>
      </c>
      <c r="B58" s="23" t="s">
        <v>554</v>
      </c>
      <c r="C58" s="23" t="s">
        <v>74</v>
      </c>
      <c r="D58" s="23" t="s">
        <v>253</v>
      </c>
      <c r="E58" s="23">
        <v>-625.0</v>
      </c>
      <c r="F58" s="71">
        <v>17.07</v>
      </c>
      <c r="G58" s="50">
        <v>44897.0</v>
      </c>
      <c r="H58" s="231">
        <v>-0.331</v>
      </c>
      <c r="I58" s="71">
        <f t="shared" si="2"/>
        <v>10668.75</v>
      </c>
    </row>
    <row r="59" ht="15.75" customHeight="1">
      <c r="A59" s="23" t="s">
        <v>73</v>
      </c>
      <c r="B59" s="23" t="s">
        <v>168</v>
      </c>
      <c r="C59" s="23" t="s">
        <v>74</v>
      </c>
      <c r="D59" s="23" t="s">
        <v>260</v>
      </c>
      <c r="E59" s="23">
        <v>139.0</v>
      </c>
      <c r="F59" s="71">
        <v>77.025</v>
      </c>
      <c r="G59" s="50">
        <v>44898.0</v>
      </c>
      <c r="H59" s="232" t="s">
        <v>278</v>
      </c>
      <c r="I59" s="71">
        <f t="shared" si="2"/>
        <v>-10706.475</v>
      </c>
    </row>
    <row r="60" ht="15.75" customHeight="1">
      <c r="A60" s="23" t="s">
        <v>127</v>
      </c>
      <c r="B60" s="23" t="str">
        <f>VLOOKUP(A60, 'Sector Holdings'!$B$15:$C$136, 2, FALSE)</f>
        <v>#N/A</v>
      </c>
      <c r="C60" s="23" t="s">
        <v>87</v>
      </c>
      <c r="D60" s="23" t="s">
        <v>264</v>
      </c>
      <c r="E60" s="23">
        <v>71.0</v>
      </c>
      <c r="F60" s="71">
        <v>404.32</v>
      </c>
      <c r="G60" s="50">
        <v>44899.0</v>
      </c>
      <c r="H60" s="232" t="s">
        <v>278</v>
      </c>
      <c r="I60" s="71">
        <f t="shared" si="2"/>
        <v>-28706.72</v>
      </c>
    </row>
    <row r="61" ht="15.75" customHeight="1">
      <c r="A61" s="23" t="s">
        <v>86</v>
      </c>
      <c r="B61" s="23" t="str">
        <f>VLOOKUP(A61, 'Sector Holdings'!$B$15:$C$136, 2, FALSE)</f>
        <v>SPDR Technology ETF</v>
      </c>
      <c r="C61" s="23" t="s">
        <v>87</v>
      </c>
      <c r="D61" s="23" t="s">
        <v>261</v>
      </c>
      <c r="E61" s="23">
        <v>-214.0</v>
      </c>
      <c r="F61" s="71">
        <v>134.5357</v>
      </c>
      <c r="G61" s="50">
        <v>44900.0</v>
      </c>
      <c r="H61" s="231">
        <v>-0.1339</v>
      </c>
      <c r="I61" s="71">
        <f t="shared" si="2"/>
        <v>28790.6398</v>
      </c>
    </row>
    <row r="62" ht="15.75" customHeight="1">
      <c r="A62" s="23" t="s">
        <v>519</v>
      </c>
      <c r="B62" s="23" t="str">
        <f>VLOOKUP(A62, 'Sector Holdings'!$B$15:$C$136, 2, FALSE)</f>
        <v>#N/A</v>
      </c>
      <c r="C62" s="23" t="s">
        <v>79</v>
      </c>
      <c r="D62" s="23" t="s">
        <v>264</v>
      </c>
      <c r="E62" s="23">
        <v>636.0</v>
      </c>
      <c r="F62" s="71">
        <v>45.475</v>
      </c>
      <c r="G62" s="50">
        <v>44901.0</v>
      </c>
      <c r="H62" s="232" t="s">
        <v>278</v>
      </c>
      <c r="I62" s="71">
        <f t="shared" si="2"/>
        <v>-28922.1</v>
      </c>
    </row>
    <row r="63" ht="15.75" customHeight="1">
      <c r="A63" s="23" t="s">
        <v>78</v>
      </c>
      <c r="B63" s="23" t="str">
        <f>VLOOKUP(A63, 'Sector Holdings'!$B$15:$C$136, 2, FALSE)</f>
        <v>SPDR Financials ETF</v>
      </c>
      <c r="C63" s="23" t="s">
        <v>79</v>
      </c>
      <c r="D63" s="23" t="s">
        <v>253</v>
      </c>
      <c r="E63" s="23">
        <v>-775.0</v>
      </c>
      <c r="F63" s="71">
        <v>35.8301</v>
      </c>
      <c r="G63" s="50">
        <v>44902.0</v>
      </c>
      <c r="H63" s="231">
        <v>-0.033</v>
      </c>
      <c r="I63" s="71">
        <f t="shared" si="2"/>
        <v>27768.3275</v>
      </c>
    </row>
    <row r="64" ht="15.75" customHeight="1">
      <c r="A64" s="23" t="s">
        <v>555</v>
      </c>
      <c r="B64" s="23" t="s">
        <v>556</v>
      </c>
      <c r="C64" s="23" t="s">
        <v>83</v>
      </c>
      <c r="D64" s="23" t="s">
        <v>253</v>
      </c>
      <c r="E64" s="23">
        <v>-304.0</v>
      </c>
      <c r="F64" s="71">
        <v>85.45</v>
      </c>
      <c r="G64" s="50">
        <v>44903.0</v>
      </c>
      <c r="H64" s="231">
        <v>-0.0123</v>
      </c>
      <c r="I64" s="71">
        <f t="shared" si="2"/>
        <v>25976.8</v>
      </c>
    </row>
    <row r="65" ht="15.75" customHeight="1">
      <c r="A65" s="23" t="s">
        <v>82</v>
      </c>
      <c r="B65" s="23" t="str">
        <f>VLOOKUP(A65, 'Sector Holdings'!$B$15:$C$136, 2, FALSE)</f>
        <v>SPDR Industrials ETF</v>
      </c>
      <c r="C65" s="23" t="s">
        <v>83</v>
      </c>
      <c r="D65" s="23" t="s">
        <v>260</v>
      </c>
      <c r="E65" s="23">
        <v>255.0</v>
      </c>
      <c r="F65" s="71">
        <v>102.091</v>
      </c>
      <c r="G65" s="50">
        <v>44904.0</v>
      </c>
      <c r="H65" s="240" t="s">
        <v>278</v>
      </c>
      <c r="I65" s="71">
        <f t="shared" si="2"/>
        <v>-26033.205</v>
      </c>
    </row>
    <row r="66" ht="15.75" customHeight="1">
      <c r="A66" s="23" t="s">
        <v>138</v>
      </c>
      <c r="B66" s="23" t="s">
        <v>557</v>
      </c>
      <c r="C66" s="23" t="s">
        <v>69</v>
      </c>
      <c r="D66" s="23" t="s">
        <v>253</v>
      </c>
      <c r="E66" s="23">
        <v>-33.0</v>
      </c>
      <c r="F66" s="23">
        <v>111.96</v>
      </c>
      <c r="G66" s="50">
        <v>44914.0</v>
      </c>
      <c r="H66" s="240">
        <f>(I66-I35)/I35</f>
        <v>-2.041973011</v>
      </c>
      <c r="I66" s="71">
        <f t="shared" si="2"/>
        <v>3694.68</v>
      </c>
    </row>
    <row r="67" ht="15.75" customHeight="1">
      <c r="A67" s="23" t="s">
        <v>430</v>
      </c>
      <c r="B67" s="23" t="s">
        <v>489</v>
      </c>
      <c r="C67" s="23" t="s">
        <v>69</v>
      </c>
      <c r="D67" s="23" t="s">
        <v>264</v>
      </c>
      <c r="E67" s="23">
        <v>43.0</v>
      </c>
      <c r="F67" s="23">
        <v>91.48</v>
      </c>
      <c r="G67" s="50">
        <v>44914.0</v>
      </c>
      <c r="H67" s="240" t="s">
        <v>278</v>
      </c>
      <c r="I67" s="71">
        <f t="shared" si="2"/>
        <v>-3933.64</v>
      </c>
    </row>
    <row r="68" ht="15.75" customHeight="1">
      <c r="A68" s="23" t="s">
        <v>485</v>
      </c>
      <c r="B68" s="23" t="s">
        <v>558</v>
      </c>
      <c r="C68" s="23" t="s">
        <v>69</v>
      </c>
      <c r="D68" s="23" t="s">
        <v>264</v>
      </c>
      <c r="E68" s="23">
        <v>53.0</v>
      </c>
      <c r="F68" s="23">
        <v>74.105</v>
      </c>
      <c r="G68" s="50">
        <v>44914.0</v>
      </c>
      <c r="H68" s="240" t="s">
        <v>278</v>
      </c>
      <c r="I68" s="71">
        <f t="shared" si="2"/>
        <v>-3927.565</v>
      </c>
    </row>
    <row r="69" ht="15.75" customHeight="1">
      <c r="A69" s="23" t="s">
        <v>483</v>
      </c>
      <c r="B69" s="23" t="s">
        <v>559</v>
      </c>
      <c r="C69" s="23" t="s">
        <v>69</v>
      </c>
      <c r="D69" s="23" t="s">
        <v>264</v>
      </c>
      <c r="E69" s="23">
        <v>50.0</v>
      </c>
      <c r="F69" s="23">
        <v>79.875</v>
      </c>
      <c r="G69" s="50">
        <v>44914.0</v>
      </c>
      <c r="H69" s="240" t="s">
        <v>278</v>
      </c>
      <c r="I69" s="71">
        <f t="shared" si="2"/>
        <v>-3993.75</v>
      </c>
    </row>
    <row r="70" ht="15.75" customHeight="1">
      <c r="A70" s="23" t="s">
        <v>552</v>
      </c>
      <c r="B70" s="23" t="s">
        <v>560</v>
      </c>
      <c r="C70" s="23" t="s">
        <v>69</v>
      </c>
      <c r="D70" s="23" t="s">
        <v>253</v>
      </c>
      <c r="E70" s="23">
        <v>-85.0</v>
      </c>
      <c r="F70" s="23">
        <v>43.935</v>
      </c>
      <c r="G70" s="50">
        <v>44914.0</v>
      </c>
      <c r="H70" s="240">
        <f>(I70-I56)/I56</f>
        <v>-1.962431544</v>
      </c>
      <c r="I70" s="71">
        <f t="shared" si="2"/>
        <v>3734.475</v>
      </c>
    </row>
    <row r="71" ht="15.75" customHeight="1">
      <c r="A71" s="23" t="s">
        <v>551</v>
      </c>
      <c r="B71" s="23" t="s">
        <v>561</v>
      </c>
      <c r="C71" s="23" t="s">
        <v>69</v>
      </c>
      <c r="D71" s="23" t="s">
        <v>253</v>
      </c>
      <c r="E71" s="23">
        <v>-64.0</v>
      </c>
      <c r="F71" s="23">
        <v>62.08</v>
      </c>
      <c r="G71" s="50">
        <v>44914.0</v>
      </c>
      <c r="H71" s="240">
        <f>(I71-I55)/I55</f>
        <v>-2.036048064</v>
      </c>
      <c r="I71" s="71">
        <f t="shared" si="2"/>
        <v>3973.12</v>
      </c>
    </row>
    <row r="72" ht="15.75" customHeight="1">
      <c r="H72" s="240"/>
    </row>
    <row r="73" ht="15.75" customHeight="1"/>
    <row r="74" ht="15.75" customHeight="1">
      <c r="F74" s="71"/>
      <c r="G74" s="50"/>
      <c r="H74" s="19"/>
    </row>
    <row r="75" ht="15.75" customHeight="1">
      <c r="F75" s="71"/>
      <c r="G75" s="50"/>
      <c r="H75" s="19"/>
    </row>
    <row r="76" ht="15.75" customHeight="1">
      <c r="F76" s="71"/>
      <c r="G76" s="50"/>
      <c r="H76" s="19"/>
    </row>
    <row r="77" ht="15.75" customHeight="1">
      <c r="F77" s="71"/>
      <c r="G77" s="50"/>
      <c r="H77" s="19"/>
    </row>
    <row r="78" ht="15.75" customHeight="1">
      <c r="C78" s="243" t="s">
        <v>562</v>
      </c>
      <c r="D78" s="244"/>
      <c r="E78" s="244"/>
      <c r="F78" s="244"/>
      <c r="G78" s="245"/>
      <c r="H78" s="19"/>
      <c r="I78" s="23"/>
    </row>
    <row r="79" ht="15.75" customHeight="1">
      <c r="C79" s="246"/>
      <c r="D79" s="246"/>
      <c r="E79" s="246"/>
      <c r="F79" s="247"/>
      <c r="G79" s="248"/>
      <c r="H79" s="19"/>
      <c r="I79" s="23"/>
    </row>
    <row r="80" ht="15.75" customHeight="1">
      <c r="C80" s="249" t="s">
        <v>60</v>
      </c>
      <c r="D80" s="250" t="s">
        <v>248</v>
      </c>
      <c r="E80" s="250" t="s">
        <v>63</v>
      </c>
      <c r="F80" s="251" t="s">
        <v>563</v>
      </c>
      <c r="G80" s="252" t="s">
        <v>564</v>
      </c>
      <c r="H80" s="19"/>
      <c r="I80" s="23" t="s">
        <v>565</v>
      </c>
    </row>
    <row r="81" ht="15.75" customHeight="1">
      <c r="C81" s="253" t="s">
        <v>553</v>
      </c>
      <c r="D81" s="254" t="s">
        <v>253</v>
      </c>
      <c r="E81" s="255">
        <v>-625.0</v>
      </c>
      <c r="F81" s="256">
        <v>17.07</v>
      </c>
      <c r="G81" s="257">
        <f t="shared" ref="G81:G88" si="3">F81*E81*-1</f>
        <v>10668.75</v>
      </c>
      <c r="H81" s="19"/>
      <c r="I81" s="231">
        <v>-0.331</v>
      </c>
    </row>
    <row r="82" ht="15.75" customHeight="1">
      <c r="C82" s="253" t="s">
        <v>73</v>
      </c>
      <c r="D82" s="258" t="s">
        <v>260</v>
      </c>
      <c r="E82" s="255">
        <v>139.0</v>
      </c>
      <c r="F82" s="256">
        <v>77.025</v>
      </c>
      <c r="G82" s="257">
        <f t="shared" si="3"/>
        <v>-10706.475</v>
      </c>
      <c r="H82" s="19"/>
      <c r="I82" s="232" t="s">
        <v>278</v>
      </c>
    </row>
    <row r="83" ht="15.75" customHeight="1">
      <c r="C83" s="253" t="s">
        <v>127</v>
      </c>
      <c r="D83" s="258" t="s">
        <v>264</v>
      </c>
      <c r="E83" s="255">
        <v>71.0</v>
      </c>
      <c r="F83" s="256">
        <v>404.32</v>
      </c>
      <c r="G83" s="257">
        <f t="shared" si="3"/>
        <v>-28706.72</v>
      </c>
      <c r="H83" s="19"/>
      <c r="I83" s="232" t="s">
        <v>278</v>
      </c>
    </row>
    <row r="84" ht="15.75" customHeight="1">
      <c r="C84" s="253" t="s">
        <v>86</v>
      </c>
      <c r="D84" s="254" t="s">
        <v>261</v>
      </c>
      <c r="E84" s="255">
        <v>-214.0</v>
      </c>
      <c r="F84" s="256">
        <v>134.5357</v>
      </c>
      <c r="G84" s="257">
        <f t="shared" si="3"/>
        <v>28790.6398</v>
      </c>
      <c r="H84" s="19"/>
      <c r="I84" s="231">
        <v>-0.1339</v>
      </c>
    </row>
    <row r="85" ht="15.75" customHeight="1">
      <c r="C85" s="253" t="s">
        <v>519</v>
      </c>
      <c r="D85" s="258" t="s">
        <v>264</v>
      </c>
      <c r="E85" s="255">
        <v>636.0</v>
      </c>
      <c r="F85" s="256">
        <v>45.475</v>
      </c>
      <c r="G85" s="257">
        <f t="shared" si="3"/>
        <v>-28922.1</v>
      </c>
      <c r="H85" s="19"/>
      <c r="I85" s="232" t="s">
        <v>278</v>
      </c>
    </row>
    <row r="86" ht="15.75" customHeight="1">
      <c r="C86" s="253" t="s">
        <v>78</v>
      </c>
      <c r="D86" s="254" t="s">
        <v>253</v>
      </c>
      <c r="E86" s="259">
        <v>-775.0</v>
      </c>
      <c r="F86" s="257">
        <v>35.8301</v>
      </c>
      <c r="G86" s="257">
        <f t="shared" si="3"/>
        <v>27768.3275</v>
      </c>
      <c r="H86" s="19"/>
      <c r="I86" s="231">
        <v>-0.033</v>
      </c>
    </row>
    <row r="87" ht="15.75" customHeight="1">
      <c r="C87" s="253" t="s">
        <v>555</v>
      </c>
      <c r="D87" s="254" t="s">
        <v>253</v>
      </c>
      <c r="E87" s="259">
        <v>-304.0</v>
      </c>
      <c r="F87" s="257">
        <v>85.45</v>
      </c>
      <c r="G87" s="257">
        <f t="shared" si="3"/>
        <v>25976.8</v>
      </c>
      <c r="H87" s="19"/>
      <c r="I87" s="231">
        <v>-0.0123</v>
      </c>
    </row>
    <row r="88" ht="15.75" customHeight="1">
      <c r="C88" s="253" t="s">
        <v>82</v>
      </c>
      <c r="D88" s="258" t="s">
        <v>260</v>
      </c>
      <c r="E88" s="259">
        <v>255.0</v>
      </c>
      <c r="F88" s="257">
        <v>102.091</v>
      </c>
      <c r="G88" s="257">
        <f t="shared" si="3"/>
        <v>-26033.205</v>
      </c>
      <c r="H88" s="19"/>
      <c r="I88" s="232" t="s">
        <v>278</v>
      </c>
    </row>
    <row r="89" ht="15.75" customHeight="1">
      <c r="F89" s="71"/>
      <c r="G89" s="50"/>
      <c r="H89" s="19"/>
    </row>
    <row r="90" ht="15.75" customHeight="1">
      <c r="F90" s="71"/>
      <c r="G90" s="50"/>
      <c r="H90" s="19"/>
    </row>
    <row r="91" ht="15.75" customHeight="1">
      <c r="F91" s="71"/>
      <c r="G91" s="50"/>
      <c r="H91" s="19"/>
    </row>
    <row r="92" ht="15.75" customHeight="1">
      <c r="F92" s="71"/>
      <c r="G92" s="50"/>
      <c r="H92" s="19"/>
    </row>
    <row r="93" ht="15.75" customHeight="1">
      <c r="F93" s="71"/>
      <c r="G93" s="50"/>
      <c r="H93" s="19"/>
    </row>
    <row r="94" ht="15.75" customHeight="1">
      <c r="F94" s="71"/>
      <c r="G94" s="50"/>
      <c r="H94" s="19"/>
    </row>
    <row r="95" ht="15.75" customHeight="1">
      <c r="F95" s="71"/>
      <c r="G95" s="50"/>
      <c r="H95" s="19"/>
    </row>
    <row r="96" ht="15.75" customHeight="1">
      <c r="F96" s="71"/>
      <c r="G96" s="50"/>
      <c r="H96" s="19"/>
    </row>
    <row r="97" ht="15.75" customHeight="1">
      <c r="F97" s="71"/>
      <c r="G97" s="50"/>
      <c r="H97" s="19"/>
    </row>
    <row r="98" ht="15.75" customHeight="1">
      <c r="F98" s="71"/>
      <c r="G98" s="50"/>
      <c r="H98" s="19"/>
    </row>
    <row r="99" ht="15.75" customHeight="1">
      <c r="F99" s="71"/>
      <c r="G99" s="50"/>
      <c r="H99" s="19"/>
    </row>
    <row r="100" ht="15.75" customHeight="1">
      <c r="F100" s="71"/>
      <c r="G100" s="50"/>
      <c r="H100" s="19"/>
    </row>
    <row r="101" ht="15.75" customHeight="1">
      <c r="F101" s="71"/>
      <c r="G101" s="50"/>
      <c r="H101" s="19"/>
    </row>
    <row r="102" ht="15.75" customHeight="1">
      <c r="F102" s="71"/>
      <c r="G102" s="50"/>
      <c r="H102" s="19"/>
    </row>
    <row r="103" ht="15.75" customHeight="1">
      <c r="F103" s="71"/>
      <c r="G103" s="50"/>
      <c r="H103" s="19"/>
    </row>
    <row r="104" ht="15.75" customHeight="1">
      <c r="F104" s="71"/>
      <c r="G104" s="50"/>
      <c r="H104" s="19"/>
    </row>
    <row r="105" ht="15.75" customHeight="1">
      <c r="F105" s="71"/>
      <c r="G105" s="50"/>
      <c r="H105" s="19"/>
    </row>
    <row r="106" ht="15.75" customHeight="1">
      <c r="F106" s="71"/>
      <c r="G106" s="50"/>
      <c r="H106" s="19"/>
    </row>
    <row r="107" ht="15.75" customHeight="1">
      <c r="F107" s="71"/>
      <c r="G107" s="50"/>
      <c r="H107" s="19"/>
    </row>
    <row r="108" ht="15.75" customHeight="1">
      <c r="F108" s="71"/>
      <c r="G108" s="50"/>
      <c r="H108" s="19"/>
    </row>
    <row r="109" ht="15.75" customHeight="1">
      <c r="F109" s="71"/>
      <c r="G109" s="50"/>
      <c r="H109" s="19"/>
    </row>
    <row r="110" ht="15.75" customHeight="1">
      <c r="F110" s="71"/>
      <c r="G110" s="50"/>
      <c r="H110" s="19"/>
    </row>
    <row r="111" ht="15.75" customHeight="1">
      <c r="F111" s="71"/>
      <c r="G111" s="50"/>
      <c r="H111" s="19"/>
    </row>
    <row r="112" ht="15.75" customHeight="1">
      <c r="F112" s="71"/>
      <c r="G112" s="50"/>
      <c r="H112" s="19"/>
    </row>
    <row r="113" ht="15.75" customHeight="1">
      <c r="F113" s="71"/>
      <c r="G113" s="50"/>
      <c r="H113" s="19"/>
    </row>
    <row r="114" ht="15.75" customHeight="1">
      <c r="F114" s="71"/>
      <c r="G114" s="50"/>
      <c r="H114" s="19"/>
    </row>
    <row r="115" ht="15.75" customHeight="1">
      <c r="F115" s="71"/>
      <c r="G115" s="50"/>
      <c r="H115" s="19"/>
    </row>
    <row r="116" ht="15.75" customHeight="1">
      <c r="F116" s="71"/>
      <c r="G116" s="50"/>
      <c r="H116" s="19"/>
    </row>
    <row r="117" ht="15.75" customHeight="1">
      <c r="F117" s="71"/>
      <c r="G117" s="50"/>
      <c r="H117" s="19"/>
    </row>
    <row r="118" ht="15.75" customHeight="1">
      <c r="F118" s="71"/>
      <c r="G118" s="50"/>
      <c r="H118" s="19"/>
    </row>
    <row r="119" ht="15.75" customHeight="1">
      <c r="F119" s="71"/>
      <c r="G119" s="50"/>
      <c r="H119" s="19"/>
    </row>
    <row r="120" ht="15.75" customHeight="1">
      <c r="F120" s="71"/>
      <c r="G120" s="50"/>
      <c r="H120" s="19"/>
    </row>
    <row r="121" ht="15.75" customHeight="1">
      <c r="F121" s="71"/>
      <c r="G121" s="50"/>
      <c r="H121" s="19"/>
    </row>
    <row r="122" ht="15.75" customHeight="1">
      <c r="F122" s="71"/>
      <c r="G122" s="50"/>
      <c r="H122" s="19"/>
    </row>
    <row r="123" ht="15.75" customHeight="1">
      <c r="F123" s="71"/>
      <c r="G123" s="50"/>
      <c r="H123" s="19"/>
    </row>
    <row r="124" ht="15.75" customHeight="1">
      <c r="F124" s="71"/>
      <c r="G124" s="50"/>
      <c r="H124" s="19"/>
    </row>
    <row r="125" ht="15.75" customHeight="1">
      <c r="F125" s="71"/>
      <c r="G125" s="50"/>
      <c r="H125" s="19"/>
    </row>
    <row r="126" ht="15.75" customHeight="1">
      <c r="F126" s="71"/>
      <c r="G126" s="50"/>
      <c r="H126" s="19"/>
    </row>
    <row r="127" ht="15.75" customHeight="1">
      <c r="F127" s="71"/>
      <c r="G127" s="50"/>
      <c r="H127" s="19"/>
    </row>
    <row r="128" ht="15.75" customHeight="1">
      <c r="F128" s="71"/>
      <c r="G128" s="50"/>
      <c r="H128" s="19"/>
    </row>
    <row r="129" ht="15.75" customHeight="1">
      <c r="F129" s="71"/>
      <c r="G129" s="50"/>
      <c r="H129" s="19"/>
    </row>
    <row r="130" ht="15.75" customHeight="1">
      <c r="F130" s="71"/>
      <c r="G130" s="50"/>
      <c r="H130" s="19"/>
    </row>
    <row r="131" ht="15.75" customHeight="1">
      <c r="F131" s="71"/>
      <c r="G131" s="50"/>
      <c r="H131" s="19"/>
    </row>
    <row r="132" ht="15.75" customHeight="1">
      <c r="F132" s="71"/>
      <c r="G132" s="50"/>
      <c r="H132" s="19"/>
    </row>
    <row r="133" ht="15.75" customHeight="1">
      <c r="F133" s="71"/>
      <c r="G133" s="50"/>
      <c r="H133" s="19"/>
    </row>
    <row r="134" ht="15.75" customHeight="1">
      <c r="F134" s="71"/>
      <c r="G134" s="50"/>
      <c r="H134" s="19"/>
    </row>
    <row r="135" ht="15.75" customHeight="1">
      <c r="F135" s="71"/>
      <c r="G135" s="50"/>
      <c r="H135" s="19"/>
    </row>
    <row r="136" ht="15.75" customHeight="1">
      <c r="F136" s="71"/>
      <c r="G136" s="50"/>
      <c r="H136" s="19"/>
    </row>
    <row r="137" ht="15.75" customHeight="1">
      <c r="F137" s="71"/>
      <c r="G137" s="50"/>
      <c r="H137" s="19"/>
    </row>
    <row r="138" ht="15.75" customHeight="1">
      <c r="F138" s="71"/>
      <c r="G138" s="50"/>
      <c r="H138" s="19"/>
    </row>
    <row r="139" ht="15.75" customHeight="1">
      <c r="F139" s="71"/>
      <c r="G139" s="50"/>
      <c r="H139" s="19"/>
    </row>
    <row r="140" ht="15.75" customHeight="1">
      <c r="F140" s="71"/>
      <c r="G140" s="50"/>
      <c r="H140" s="19"/>
    </row>
    <row r="141" ht="15.75" customHeight="1">
      <c r="F141" s="71"/>
      <c r="G141" s="50"/>
      <c r="H141" s="19"/>
    </row>
    <row r="142" ht="15.75" customHeight="1">
      <c r="F142" s="71"/>
      <c r="G142" s="50"/>
      <c r="H142" s="19"/>
    </row>
    <row r="143" ht="15.75" customHeight="1">
      <c r="F143" s="71"/>
      <c r="G143" s="50"/>
      <c r="H143" s="19"/>
    </row>
    <row r="144" ht="15.75" customHeight="1">
      <c r="F144" s="71"/>
      <c r="G144" s="50"/>
      <c r="H144" s="19"/>
    </row>
    <row r="145" ht="15.75" customHeight="1">
      <c r="F145" s="71"/>
      <c r="G145" s="50"/>
      <c r="H145" s="19"/>
    </row>
    <row r="146" ht="15.75" customHeight="1">
      <c r="F146" s="71"/>
      <c r="G146" s="50"/>
      <c r="H146" s="19"/>
    </row>
    <row r="147" ht="15.75" customHeight="1">
      <c r="F147" s="71"/>
      <c r="G147" s="50"/>
      <c r="H147" s="19"/>
    </row>
    <row r="148" ht="15.75" customHeight="1">
      <c r="F148" s="71"/>
      <c r="G148" s="50"/>
      <c r="H148" s="19"/>
    </row>
    <row r="149" ht="15.75" customHeight="1">
      <c r="F149" s="71"/>
      <c r="G149" s="50"/>
      <c r="H149" s="19"/>
    </row>
    <row r="150" ht="15.75" customHeight="1">
      <c r="F150" s="71"/>
      <c r="G150" s="50"/>
      <c r="H150" s="19"/>
    </row>
    <row r="151" ht="15.75" customHeight="1">
      <c r="F151" s="71"/>
      <c r="G151" s="50"/>
      <c r="H151" s="19"/>
    </row>
    <row r="152" ht="15.75" customHeight="1">
      <c r="F152" s="71"/>
      <c r="G152" s="50"/>
      <c r="H152" s="19"/>
    </row>
    <row r="153" ht="15.75" customHeight="1">
      <c r="F153" s="71"/>
      <c r="G153" s="50"/>
      <c r="H153" s="19"/>
    </row>
    <row r="154" ht="15.75" customHeight="1">
      <c r="F154" s="71"/>
      <c r="G154" s="50"/>
      <c r="H154" s="19"/>
    </row>
    <row r="155" ht="15.75" customHeight="1">
      <c r="F155" s="71"/>
      <c r="G155" s="50"/>
      <c r="H155" s="19"/>
    </row>
    <row r="156" ht="15.75" customHeight="1">
      <c r="F156" s="71"/>
      <c r="G156" s="50"/>
      <c r="H156" s="19"/>
    </row>
    <row r="157" ht="15.75" customHeight="1">
      <c r="F157" s="71"/>
      <c r="G157" s="50"/>
      <c r="H157" s="19"/>
    </row>
    <row r="158" ht="15.75" customHeight="1">
      <c r="F158" s="71"/>
      <c r="G158" s="50"/>
      <c r="H158" s="19"/>
    </row>
    <row r="159" ht="15.75" customHeight="1">
      <c r="F159" s="71"/>
      <c r="G159" s="50"/>
      <c r="H159" s="19"/>
    </row>
    <row r="160" ht="15.75" customHeight="1">
      <c r="F160" s="71"/>
      <c r="G160" s="50"/>
      <c r="H160" s="19"/>
    </row>
    <row r="161" ht="15.75" customHeight="1">
      <c r="F161" s="71"/>
      <c r="G161" s="50"/>
      <c r="H161" s="19"/>
    </row>
    <row r="162" ht="15.75" customHeight="1">
      <c r="F162" s="71"/>
      <c r="G162" s="50"/>
      <c r="H162" s="19"/>
    </row>
    <row r="163" ht="15.75" customHeight="1">
      <c r="F163" s="71"/>
      <c r="G163" s="50"/>
      <c r="H163" s="19"/>
    </row>
    <row r="164" ht="15.75" customHeight="1">
      <c r="F164" s="71"/>
      <c r="G164" s="50"/>
      <c r="H164" s="19"/>
    </row>
    <row r="165" ht="15.75" customHeight="1">
      <c r="F165" s="71"/>
      <c r="G165" s="50"/>
      <c r="H165" s="19"/>
    </row>
    <row r="166" ht="15.75" customHeight="1">
      <c r="F166" s="71"/>
      <c r="G166" s="50"/>
      <c r="H166" s="19"/>
    </row>
    <row r="167" ht="15.75" customHeight="1">
      <c r="F167" s="71"/>
      <c r="G167" s="50"/>
      <c r="H167" s="19"/>
    </row>
    <row r="168" ht="15.75" customHeight="1">
      <c r="F168" s="71"/>
      <c r="G168" s="50"/>
      <c r="H168" s="19"/>
    </row>
    <row r="169" ht="15.75" customHeight="1">
      <c r="F169" s="71"/>
      <c r="G169" s="50"/>
      <c r="H169" s="19"/>
    </row>
    <row r="170" ht="15.75" customHeight="1">
      <c r="F170" s="71"/>
      <c r="G170" s="50"/>
      <c r="H170" s="19"/>
    </row>
    <row r="171" ht="15.75" customHeight="1">
      <c r="F171" s="71"/>
      <c r="G171" s="50"/>
      <c r="H171" s="19"/>
    </row>
    <row r="172" ht="15.75" customHeight="1">
      <c r="F172" s="71"/>
      <c r="G172" s="50"/>
      <c r="H172" s="19"/>
    </row>
    <row r="173" ht="15.75" customHeight="1">
      <c r="F173" s="71"/>
      <c r="G173" s="50"/>
      <c r="H173" s="19"/>
    </row>
    <row r="174" ht="15.75" customHeight="1">
      <c r="F174" s="71"/>
      <c r="G174" s="50"/>
      <c r="H174" s="19"/>
    </row>
    <row r="175" ht="15.75" customHeight="1">
      <c r="F175" s="71"/>
      <c r="G175" s="50"/>
      <c r="H175" s="19"/>
    </row>
    <row r="176" ht="15.75" customHeight="1">
      <c r="F176" s="71"/>
      <c r="G176" s="50"/>
      <c r="H176" s="19"/>
    </row>
    <row r="177" ht="15.75" customHeight="1">
      <c r="F177" s="71"/>
      <c r="G177" s="50"/>
      <c r="H177" s="19"/>
    </row>
    <row r="178" ht="15.75" customHeight="1">
      <c r="F178" s="71"/>
      <c r="G178" s="50"/>
      <c r="H178" s="19"/>
    </row>
    <row r="179" ht="15.75" customHeight="1">
      <c r="F179" s="71"/>
      <c r="G179" s="50"/>
      <c r="H179" s="19"/>
    </row>
    <row r="180" ht="15.75" customHeight="1">
      <c r="F180" s="71"/>
      <c r="G180" s="50"/>
      <c r="H180" s="19"/>
    </row>
    <row r="181" ht="15.75" customHeight="1">
      <c r="F181" s="71"/>
      <c r="G181" s="50"/>
      <c r="H181" s="19"/>
    </row>
    <row r="182" ht="15.75" customHeight="1">
      <c r="F182" s="71"/>
      <c r="G182" s="50"/>
      <c r="H182" s="19"/>
    </row>
    <row r="183" ht="15.75" customHeight="1">
      <c r="F183" s="71"/>
      <c r="G183" s="50"/>
      <c r="H183" s="19"/>
    </row>
    <row r="184" ht="15.75" customHeight="1">
      <c r="F184" s="71"/>
      <c r="G184" s="50"/>
      <c r="H184" s="19"/>
    </row>
    <row r="185" ht="15.75" customHeight="1">
      <c r="F185" s="71"/>
      <c r="G185" s="50"/>
      <c r="H185" s="19"/>
    </row>
    <row r="186" ht="15.75" customHeight="1">
      <c r="F186" s="71"/>
      <c r="G186" s="50"/>
      <c r="H186" s="19"/>
    </row>
    <row r="187" ht="15.75" customHeight="1">
      <c r="F187" s="71"/>
      <c r="G187" s="50"/>
      <c r="H187" s="19"/>
    </row>
    <row r="188" ht="15.75" customHeight="1">
      <c r="F188" s="71"/>
      <c r="G188" s="50"/>
      <c r="H188" s="19"/>
    </row>
    <row r="189" ht="15.75" customHeight="1">
      <c r="F189" s="71"/>
      <c r="G189" s="50"/>
      <c r="H189" s="19"/>
    </row>
    <row r="190" ht="15.75" customHeight="1">
      <c r="F190" s="71"/>
      <c r="G190" s="50"/>
      <c r="H190" s="19"/>
    </row>
    <row r="191" ht="15.75" customHeight="1">
      <c r="F191" s="71"/>
      <c r="G191" s="50"/>
      <c r="H191" s="19"/>
    </row>
    <row r="192" ht="15.75" customHeight="1">
      <c r="F192" s="71"/>
      <c r="G192" s="50"/>
      <c r="H192" s="19"/>
    </row>
    <row r="193" ht="15.75" customHeight="1">
      <c r="F193" s="71"/>
      <c r="G193" s="50"/>
      <c r="H193" s="19"/>
    </row>
    <row r="194" ht="15.75" customHeight="1">
      <c r="F194" s="71"/>
      <c r="G194" s="50"/>
      <c r="H194" s="19"/>
    </row>
    <row r="195" ht="15.75" customHeight="1">
      <c r="F195" s="71"/>
      <c r="G195" s="50"/>
      <c r="H195" s="19"/>
    </row>
    <row r="196" ht="15.75" customHeight="1">
      <c r="F196" s="71"/>
      <c r="G196" s="50"/>
      <c r="H196" s="19"/>
    </row>
    <row r="197" ht="15.75" customHeight="1">
      <c r="F197" s="71"/>
      <c r="G197" s="50"/>
      <c r="H197" s="19"/>
    </row>
    <row r="198" ht="15.75" customHeight="1">
      <c r="F198" s="71"/>
      <c r="G198" s="50"/>
      <c r="H198" s="19"/>
    </row>
    <row r="199" ht="15.75" customHeight="1">
      <c r="F199" s="71"/>
      <c r="G199" s="50"/>
      <c r="H199" s="19"/>
    </row>
    <row r="200" ht="15.75" customHeight="1">
      <c r="F200" s="71"/>
      <c r="G200" s="50"/>
      <c r="H200" s="19"/>
    </row>
    <row r="201" ht="15.75" customHeight="1">
      <c r="F201" s="71"/>
      <c r="G201" s="50"/>
      <c r="H201" s="19"/>
    </row>
    <row r="202" ht="15.75" customHeight="1">
      <c r="F202" s="71"/>
      <c r="G202" s="50"/>
      <c r="H202" s="19"/>
    </row>
    <row r="203" ht="15.75" customHeight="1">
      <c r="F203" s="71"/>
      <c r="G203" s="50"/>
      <c r="H203" s="19"/>
    </row>
    <row r="204" ht="15.75" customHeight="1">
      <c r="F204" s="71"/>
      <c r="G204" s="50"/>
      <c r="H204" s="19"/>
    </row>
    <row r="205" ht="15.75" customHeight="1">
      <c r="F205" s="71"/>
      <c r="G205" s="50"/>
      <c r="H205" s="19"/>
    </row>
    <row r="206" ht="15.75" customHeight="1">
      <c r="F206" s="71"/>
      <c r="G206" s="50"/>
      <c r="H206" s="19"/>
    </row>
    <row r="207" ht="15.75" customHeight="1">
      <c r="F207" s="71"/>
      <c r="G207" s="50"/>
      <c r="H207" s="19"/>
    </row>
    <row r="208" ht="15.75" customHeight="1">
      <c r="F208" s="71"/>
      <c r="G208" s="50"/>
      <c r="H208" s="19"/>
    </row>
    <row r="209" ht="15.75" customHeight="1">
      <c r="F209" s="71"/>
      <c r="G209" s="50"/>
      <c r="H209" s="19"/>
    </row>
    <row r="210" ht="15.75" customHeight="1">
      <c r="F210" s="71"/>
      <c r="G210" s="50"/>
      <c r="H210" s="19"/>
    </row>
    <row r="211" ht="15.75" customHeight="1">
      <c r="F211" s="71"/>
      <c r="G211" s="50"/>
      <c r="H211" s="19"/>
    </row>
    <row r="212" ht="15.75" customHeight="1">
      <c r="F212" s="71"/>
      <c r="G212" s="50"/>
      <c r="H212" s="19"/>
    </row>
    <row r="213" ht="15.75" customHeight="1">
      <c r="F213" s="71"/>
      <c r="G213" s="50"/>
      <c r="H213" s="19"/>
    </row>
    <row r="214" ht="15.75" customHeight="1">
      <c r="F214" s="71"/>
      <c r="G214" s="50"/>
      <c r="H214" s="19"/>
    </row>
    <row r="215" ht="15.75" customHeight="1">
      <c r="F215" s="71"/>
      <c r="G215" s="50"/>
      <c r="H215" s="19"/>
    </row>
    <row r="216" ht="15.75" customHeight="1">
      <c r="F216" s="71"/>
      <c r="G216" s="50"/>
      <c r="H216" s="19"/>
    </row>
    <row r="217" ht="15.75" customHeight="1">
      <c r="F217" s="71"/>
      <c r="G217" s="50"/>
      <c r="H217" s="19"/>
    </row>
    <row r="218" ht="15.75" customHeight="1">
      <c r="F218" s="71"/>
      <c r="G218" s="50"/>
      <c r="H218" s="19"/>
    </row>
    <row r="219" ht="15.75" customHeight="1">
      <c r="F219" s="71"/>
      <c r="G219" s="50"/>
      <c r="H219" s="19"/>
    </row>
    <row r="220" ht="15.75" customHeight="1">
      <c r="F220" s="71"/>
      <c r="G220" s="50"/>
      <c r="H220" s="19"/>
    </row>
    <row r="221" ht="15.75" customHeight="1">
      <c r="F221" s="71"/>
      <c r="G221" s="50"/>
      <c r="H221" s="19"/>
    </row>
    <row r="222" ht="15.75" customHeight="1">
      <c r="F222" s="71"/>
      <c r="G222" s="50"/>
      <c r="H222" s="19"/>
    </row>
    <row r="223" ht="15.75" customHeight="1">
      <c r="F223" s="71"/>
      <c r="G223" s="50"/>
      <c r="H223" s="19"/>
    </row>
    <row r="224" ht="15.75" customHeight="1">
      <c r="F224" s="71"/>
      <c r="G224" s="50"/>
      <c r="H224" s="19"/>
    </row>
    <row r="225" ht="15.75" customHeight="1">
      <c r="F225" s="71"/>
      <c r="G225" s="50"/>
      <c r="H225" s="19"/>
    </row>
    <row r="226" ht="15.75" customHeight="1">
      <c r="F226" s="71"/>
      <c r="G226" s="50"/>
      <c r="H226" s="19"/>
    </row>
    <row r="227" ht="15.75" customHeight="1">
      <c r="F227" s="71"/>
      <c r="G227" s="50"/>
      <c r="H227" s="19"/>
    </row>
    <row r="228" ht="15.75" customHeight="1">
      <c r="F228" s="71"/>
      <c r="G228" s="50"/>
      <c r="H228" s="19"/>
    </row>
    <row r="229" ht="15.75" customHeight="1">
      <c r="F229" s="71"/>
      <c r="G229" s="50"/>
      <c r="H229" s="19"/>
    </row>
    <row r="230" ht="15.75" customHeight="1">
      <c r="F230" s="71"/>
      <c r="G230" s="50"/>
      <c r="H230" s="19"/>
    </row>
    <row r="231" ht="15.75" customHeight="1">
      <c r="F231" s="71"/>
      <c r="G231" s="50"/>
      <c r="H231" s="19"/>
    </row>
    <row r="232" ht="15.75" customHeight="1">
      <c r="F232" s="71"/>
      <c r="G232" s="50"/>
      <c r="H232" s="19"/>
    </row>
    <row r="233" ht="15.75" customHeight="1">
      <c r="F233" s="71"/>
      <c r="G233" s="50"/>
      <c r="H233" s="19"/>
    </row>
    <row r="234" ht="15.75" customHeight="1">
      <c r="F234" s="71"/>
      <c r="G234" s="50"/>
      <c r="H234" s="19"/>
    </row>
    <row r="235" ht="15.75" customHeight="1">
      <c r="F235" s="71"/>
      <c r="G235" s="50"/>
      <c r="H235" s="19"/>
    </row>
    <row r="236" ht="15.75" customHeight="1">
      <c r="F236" s="71"/>
      <c r="G236" s="50"/>
      <c r="H236" s="19"/>
    </row>
    <row r="237" ht="15.75" customHeight="1">
      <c r="F237" s="71"/>
      <c r="G237" s="50"/>
      <c r="H237" s="19"/>
    </row>
    <row r="238" ht="15.75" customHeight="1">
      <c r="F238" s="71"/>
      <c r="G238" s="50"/>
      <c r="H238" s="19"/>
    </row>
    <row r="239" ht="15.75" customHeight="1">
      <c r="F239" s="71"/>
      <c r="G239" s="50"/>
      <c r="H239" s="19"/>
    </row>
    <row r="240" ht="15.75" customHeight="1">
      <c r="F240" s="71"/>
      <c r="G240" s="50"/>
      <c r="H240" s="19"/>
    </row>
    <row r="241" ht="15.75" customHeight="1">
      <c r="F241" s="71"/>
      <c r="G241" s="50"/>
      <c r="H241" s="19"/>
    </row>
    <row r="242" ht="15.75" customHeight="1">
      <c r="F242" s="71"/>
      <c r="G242" s="50"/>
      <c r="H242" s="19"/>
    </row>
    <row r="243" ht="15.75" customHeight="1">
      <c r="F243" s="71"/>
      <c r="G243" s="50"/>
      <c r="H243" s="19"/>
    </row>
    <row r="244" ht="15.75" customHeight="1">
      <c r="F244" s="71"/>
      <c r="G244" s="50"/>
      <c r="H244" s="19"/>
    </row>
    <row r="245" ht="15.75" customHeight="1">
      <c r="F245" s="71"/>
      <c r="G245" s="50"/>
      <c r="H245" s="19"/>
    </row>
    <row r="246" ht="15.75" customHeight="1">
      <c r="F246" s="71"/>
      <c r="G246" s="50"/>
      <c r="H246" s="19"/>
    </row>
    <row r="247" ht="15.75" customHeight="1">
      <c r="F247" s="71"/>
      <c r="G247" s="50"/>
      <c r="H247" s="19"/>
    </row>
    <row r="248" ht="15.75" customHeight="1">
      <c r="F248" s="71"/>
      <c r="G248" s="50"/>
      <c r="H248" s="19"/>
    </row>
    <row r="249" ht="15.75" customHeight="1">
      <c r="F249" s="71"/>
      <c r="G249" s="50"/>
      <c r="H249" s="19"/>
    </row>
    <row r="250" ht="15.75" customHeight="1">
      <c r="F250" s="71"/>
      <c r="G250" s="50"/>
      <c r="H250" s="19"/>
    </row>
    <row r="251" ht="15.75" customHeight="1">
      <c r="F251" s="71"/>
      <c r="G251" s="50"/>
      <c r="H251" s="19"/>
    </row>
    <row r="252" ht="15.75" customHeight="1">
      <c r="F252" s="71"/>
      <c r="G252" s="50"/>
      <c r="H252" s="19"/>
    </row>
    <row r="253" ht="15.75" customHeight="1">
      <c r="F253" s="71"/>
      <c r="G253" s="50"/>
      <c r="H253" s="19"/>
    </row>
    <row r="254" ht="15.75" customHeight="1">
      <c r="F254" s="71"/>
      <c r="G254" s="50"/>
      <c r="H254" s="19"/>
    </row>
    <row r="255" ht="15.75" customHeight="1">
      <c r="F255" s="71"/>
      <c r="G255" s="50"/>
      <c r="H255" s="19"/>
    </row>
    <row r="256" ht="15.75" customHeight="1">
      <c r="F256" s="71"/>
      <c r="G256" s="50"/>
      <c r="H256" s="19"/>
    </row>
    <row r="257" ht="15.75" customHeight="1">
      <c r="F257" s="71"/>
      <c r="G257" s="50"/>
      <c r="H257" s="19"/>
    </row>
    <row r="258" ht="15.75" customHeight="1">
      <c r="F258" s="71"/>
      <c r="G258" s="50"/>
      <c r="H258" s="19"/>
    </row>
    <row r="259" ht="15.75" customHeight="1">
      <c r="F259" s="71"/>
      <c r="G259" s="50"/>
      <c r="H259" s="19"/>
    </row>
    <row r="260" ht="15.75" customHeight="1">
      <c r="F260" s="71"/>
      <c r="G260" s="50"/>
      <c r="H260" s="19"/>
    </row>
    <row r="261" ht="15.75" customHeight="1">
      <c r="F261" s="71"/>
      <c r="G261" s="50"/>
      <c r="H261" s="19"/>
    </row>
    <row r="262" ht="15.75" customHeight="1">
      <c r="F262" s="71"/>
      <c r="G262" s="50"/>
      <c r="H262" s="19"/>
    </row>
    <row r="263" ht="15.75" customHeight="1">
      <c r="F263" s="71"/>
      <c r="G263" s="50"/>
      <c r="H263" s="19"/>
    </row>
    <row r="264" ht="15.75" customHeight="1">
      <c r="F264" s="71"/>
      <c r="G264" s="50"/>
      <c r="H264" s="19"/>
    </row>
    <row r="265" ht="15.75" customHeight="1">
      <c r="F265" s="71"/>
      <c r="G265" s="50"/>
      <c r="H265" s="19"/>
    </row>
    <row r="266" ht="15.75" customHeight="1">
      <c r="F266" s="71"/>
      <c r="G266" s="50"/>
      <c r="H266" s="19"/>
    </row>
    <row r="267" ht="15.75" customHeight="1">
      <c r="F267" s="71"/>
      <c r="G267" s="50"/>
      <c r="H267" s="19"/>
    </row>
    <row r="268" ht="15.75" customHeight="1">
      <c r="F268" s="71"/>
      <c r="G268" s="50"/>
      <c r="H268" s="19"/>
    </row>
    <row r="269" ht="15.75" customHeight="1">
      <c r="F269" s="71"/>
      <c r="G269" s="50"/>
      <c r="H269" s="19"/>
    </row>
    <row r="270" ht="15.75" customHeight="1">
      <c r="F270" s="71"/>
      <c r="G270" s="50"/>
      <c r="H270" s="19"/>
    </row>
    <row r="271" ht="15.75" customHeight="1">
      <c r="F271" s="71"/>
      <c r="G271" s="50"/>
      <c r="H271" s="19"/>
    </row>
    <row r="272" ht="15.75" customHeight="1">
      <c r="F272" s="71"/>
      <c r="G272" s="50"/>
      <c r="H272" s="19"/>
    </row>
    <row r="273" ht="15.75" customHeight="1">
      <c r="F273" s="71"/>
      <c r="G273" s="50"/>
      <c r="H273" s="19"/>
    </row>
    <row r="274" ht="15.75" customHeight="1">
      <c r="F274" s="71"/>
      <c r="G274" s="50"/>
      <c r="H274" s="19"/>
    </row>
    <row r="275" ht="15.75" customHeight="1">
      <c r="F275" s="71"/>
      <c r="G275" s="50"/>
      <c r="H275" s="19"/>
    </row>
    <row r="276" ht="15.75" customHeight="1">
      <c r="F276" s="71"/>
      <c r="G276" s="50"/>
      <c r="H276" s="19"/>
    </row>
    <row r="277" ht="15.75" customHeight="1">
      <c r="F277" s="71"/>
      <c r="G277" s="50"/>
      <c r="H277" s="19"/>
    </row>
    <row r="278" ht="15.75" customHeight="1">
      <c r="F278" s="71"/>
      <c r="G278" s="50"/>
      <c r="H278" s="19"/>
    </row>
    <row r="279" ht="15.75" customHeight="1">
      <c r="F279" s="71"/>
      <c r="G279" s="50"/>
      <c r="H279" s="19"/>
    </row>
    <row r="280" ht="15.75" customHeight="1">
      <c r="F280" s="71"/>
      <c r="G280" s="50"/>
      <c r="H280" s="19"/>
    </row>
    <row r="281" ht="15.75" customHeight="1">
      <c r="F281" s="71"/>
      <c r="G281" s="50"/>
      <c r="H281" s="19"/>
    </row>
    <row r="282" ht="15.75" customHeight="1">
      <c r="F282" s="71"/>
      <c r="G282" s="50"/>
      <c r="H282" s="19"/>
    </row>
    <row r="283" ht="15.75" customHeight="1">
      <c r="F283" s="71"/>
      <c r="G283" s="50"/>
      <c r="H283" s="19"/>
    </row>
    <row r="284" ht="15.75" customHeight="1">
      <c r="F284" s="71"/>
      <c r="G284" s="50"/>
      <c r="H284" s="19"/>
    </row>
    <row r="285" ht="15.75" customHeight="1">
      <c r="F285" s="71"/>
      <c r="G285" s="50"/>
      <c r="H285" s="19"/>
    </row>
    <row r="286" ht="15.75" customHeight="1">
      <c r="F286" s="71"/>
      <c r="G286" s="50"/>
      <c r="H286" s="19"/>
    </row>
    <row r="287" ht="15.75" customHeight="1">
      <c r="F287" s="71"/>
      <c r="G287" s="50"/>
      <c r="H287" s="19"/>
    </row>
    <row r="288" ht="15.75" customHeight="1">
      <c r="F288" s="71"/>
      <c r="G288" s="50"/>
      <c r="H288" s="19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78:G78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9.0"/>
    <col customWidth="1" min="3" max="3" width="19.13"/>
    <col customWidth="1" min="4" max="6" width="12.63"/>
  </cols>
  <sheetData>
    <row r="1" ht="15.0" customHeight="1">
      <c r="A1" s="260" t="s">
        <v>267</v>
      </c>
      <c r="B1" s="260" t="s">
        <v>1</v>
      </c>
      <c r="C1" s="260" t="s">
        <v>61</v>
      </c>
      <c r="D1" s="260" t="s">
        <v>248</v>
      </c>
      <c r="E1" s="260" t="s">
        <v>63</v>
      </c>
      <c r="F1" s="261" t="s">
        <v>249</v>
      </c>
      <c r="G1" s="260" t="s">
        <v>250</v>
      </c>
      <c r="H1" s="199" t="s">
        <v>251</v>
      </c>
    </row>
    <row r="2" ht="15.0" customHeight="1">
      <c r="A2" s="23" t="s">
        <v>71</v>
      </c>
      <c r="B2" s="23" t="s">
        <v>161</v>
      </c>
      <c r="C2" s="23" t="s">
        <v>72</v>
      </c>
      <c r="D2" s="23" t="s">
        <v>261</v>
      </c>
      <c r="E2" s="23">
        <v>114.0</v>
      </c>
      <c r="F2" s="71">
        <v>184.96</v>
      </c>
      <c r="G2" s="262">
        <v>44594.0</v>
      </c>
      <c r="H2" s="19">
        <v>0.036422728</v>
      </c>
    </row>
    <row r="3" ht="15.0" customHeight="1">
      <c r="A3" s="23" t="s">
        <v>73</v>
      </c>
      <c r="B3" s="23" t="s">
        <v>168</v>
      </c>
      <c r="C3" s="23" t="s">
        <v>74</v>
      </c>
      <c r="D3" s="23" t="s">
        <v>264</v>
      </c>
      <c r="E3" s="23">
        <v>148.0</v>
      </c>
      <c r="F3" s="71">
        <v>76.61</v>
      </c>
      <c r="G3" s="262">
        <v>44594.0</v>
      </c>
      <c r="H3" s="19" t="s">
        <v>36</v>
      </c>
    </row>
    <row r="4" ht="15.0" customHeight="1">
      <c r="A4" s="23" t="s">
        <v>98</v>
      </c>
      <c r="B4" s="23" t="s">
        <v>566</v>
      </c>
      <c r="C4" s="23" t="s">
        <v>77</v>
      </c>
      <c r="D4" s="23" t="s">
        <v>261</v>
      </c>
      <c r="E4" s="23">
        <v>27.0</v>
      </c>
      <c r="F4" s="71">
        <v>116.33</v>
      </c>
      <c r="G4" s="262">
        <v>44594.0</v>
      </c>
      <c r="H4" s="19">
        <v>0.786394349</v>
      </c>
    </row>
    <row r="5" ht="15.0" customHeight="1">
      <c r="A5" s="23" t="s">
        <v>99</v>
      </c>
      <c r="B5" s="23" t="s">
        <v>170</v>
      </c>
      <c r="C5" s="23" t="s">
        <v>77</v>
      </c>
      <c r="D5" s="23" t="s">
        <v>261</v>
      </c>
      <c r="E5" s="23">
        <v>40.0</v>
      </c>
      <c r="F5" s="71">
        <v>130.47</v>
      </c>
      <c r="G5" s="262">
        <v>44594.0</v>
      </c>
      <c r="H5" s="19">
        <v>0.7682312</v>
      </c>
    </row>
    <row r="6" ht="15.0" customHeight="1">
      <c r="A6" s="23" t="s">
        <v>533</v>
      </c>
      <c r="B6" s="23" t="s">
        <v>567</v>
      </c>
      <c r="C6" s="23" t="s">
        <v>77</v>
      </c>
      <c r="D6" s="23" t="s">
        <v>261</v>
      </c>
      <c r="E6" s="23">
        <v>71.0</v>
      </c>
      <c r="F6" s="71">
        <v>33.13</v>
      </c>
      <c r="G6" s="262">
        <v>44594.0</v>
      </c>
      <c r="H6" s="19">
        <v>0.236655468</v>
      </c>
    </row>
    <row r="7" ht="15.0" customHeight="1">
      <c r="A7" s="23" t="s">
        <v>568</v>
      </c>
      <c r="B7" s="23" t="s">
        <v>569</v>
      </c>
      <c r="C7" s="23" t="s">
        <v>77</v>
      </c>
      <c r="D7" s="23" t="s">
        <v>261</v>
      </c>
      <c r="E7" s="23">
        <v>65.0</v>
      </c>
      <c r="F7" s="71">
        <v>38.52</v>
      </c>
      <c r="G7" s="262">
        <v>44594.0</v>
      </c>
      <c r="H7" s="19">
        <v>-0.345343304</v>
      </c>
    </row>
    <row r="8" ht="15.0" customHeight="1">
      <c r="A8" s="23" t="s">
        <v>78</v>
      </c>
      <c r="B8" s="23" t="s">
        <v>191</v>
      </c>
      <c r="C8" s="23" t="s">
        <v>79</v>
      </c>
      <c r="D8" s="23" t="s">
        <v>264</v>
      </c>
      <c r="E8" s="23">
        <v>112.0</v>
      </c>
      <c r="F8" s="71">
        <v>39.72</v>
      </c>
      <c r="G8" s="262">
        <v>44594.0</v>
      </c>
      <c r="H8" s="19" t="s">
        <v>36</v>
      </c>
    </row>
    <row r="9" ht="15.0" customHeight="1">
      <c r="A9" s="23" t="s">
        <v>80</v>
      </c>
      <c r="B9" s="23" t="s">
        <v>200</v>
      </c>
      <c r="C9" s="23" t="s">
        <v>81</v>
      </c>
      <c r="D9" s="23" t="s">
        <v>260</v>
      </c>
      <c r="E9" s="23">
        <v>239.0</v>
      </c>
      <c r="F9" s="71">
        <v>132.96</v>
      </c>
      <c r="G9" s="262">
        <v>44594.0</v>
      </c>
      <c r="H9" s="19" t="s">
        <v>36</v>
      </c>
    </row>
    <row r="10" ht="15.0" customHeight="1">
      <c r="A10" s="23" t="s">
        <v>82</v>
      </c>
      <c r="B10" s="23" t="s">
        <v>209</v>
      </c>
      <c r="C10" s="23" t="s">
        <v>83</v>
      </c>
      <c r="D10" s="23" t="s">
        <v>260</v>
      </c>
      <c r="E10" s="23">
        <v>60.0</v>
      </c>
      <c r="F10" s="71">
        <v>102.64</v>
      </c>
      <c r="G10" s="262">
        <v>44594.0</v>
      </c>
      <c r="H10" s="19" t="s">
        <v>36</v>
      </c>
    </row>
    <row r="11" ht="15.0" customHeight="1">
      <c r="A11" s="23" t="s">
        <v>505</v>
      </c>
      <c r="B11" s="23" t="s">
        <v>570</v>
      </c>
      <c r="C11" s="23" t="s">
        <v>85</v>
      </c>
      <c r="D11" s="23" t="s">
        <v>261</v>
      </c>
      <c r="E11" s="23">
        <v>75.0</v>
      </c>
      <c r="F11" s="71">
        <v>22.86</v>
      </c>
      <c r="G11" s="262">
        <v>44594.0</v>
      </c>
      <c r="H11" s="19">
        <v>0.718796992</v>
      </c>
    </row>
    <row r="12" ht="15.0" customHeight="1">
      <c r="A12" s="23" t="s">
        <v>571</v>
      </c>
      <c r="B12" s="23" t="s">
        <v>572</v>
      </c>
      <c r="C12" s="23" t="s">
        <v>85</v>
      </c>
      <c r="D12" s="23" t="s">
        <v>261</v>
      </c>
      <c r="E12" s="23">
        <v>63.0</v>
      </c>
      <c r="F12" s="71">
        <v>58.69</v>
      </c>
      <c r="G12" s="262">
        <v>44594.0</v>
      </c>
      <c r="H12" s="19">
        <v>0.922371438</v>
      </c>
    </row>
    <row r="13" ht="15.0" customHeight="1">
      <c r="A13" s="23" t="s">
        <v>573</v>
      </c>
      <c r="B13" s="23" t="s">
        <v>574</v>
      </c>
      <c r="C13" s="23" t="s">
        <v>85</v>
      </c>
      <c r="D13" s="23" t="s">
        <v>261</v>
      </c>
      <c r="E13" s="23">
        <v>54.0</v>
      </c>
      <c r="F13" s="71">
        <v>21.06</v>
      </c>
      <c r="G13" s="262">
        <v>44594.0</v>
      </c>
      <c r="H13" s="19">
        <v>-0.034387895</v>
      </c>
    </row>
    <row r="14" ht="15.0" customHeight="1">
      <c r="A14" s="23" t="s">
        <v>119</v>
      </c>
      <c r="B14" s="23" t="s">
        <v>411</v>
      </c>
      <c r="C14" s="23" t="s">
        <v>85</v>
      </c>
      <c r="D14" s="23" t="s">
        <v>261</v>
      </c>
      <c r="E14" s="23">
        <v>11.0</v>
      </c>
      <c r="F14" s="71">
        <v>163.7</v>
      </c>
      <c r="G14" s="262">
        <v>44594.0</v>
      </c>
      <c r="H14" s="19">
        <v>0.711626934</v>
      </c>
    </row>
    <row r="15" ht="15.0" customHeight="1">
      <c r="A15" s="23" t="s">
        <v>422</v>
      </c>
      <c r="B15" s="23" t="s">
        <v>423</v>
      </c>
      <c r="C15" s="23" t="s">
        <v>85</v>
      </c>
      <c r="D15" s="23" t="s">
        <v>261</v>
      </c>
      <c r="E15" s="23">
        <v>31.0</v>
      </c>
      <c r="F15" s="71">
        <v>46.49</v>
      </c>
      <c r="G15" s="262">
        <v>44594.0</v>
      </c>
      <c r="H15" s="19">
        <v>0.016508145</v>
      </c>
    </row>
    <row r="16" ht="15.0" customHeight="1">
      <c r="A16" s="23" t="s">
        <v>86</v>
      </c>
      <c r="B16" s="23" t="s">
        <v>221</v>
      </c>
      <c r="C16" s="23" t="s">
        <v>87</v>
      </c>
      <c r="D16" s="23" t="s">
        <v>260</v>
      </c>
      <c r="E16" s="23">
        <v>131.0</v>
      </c>
      <c r="F16" s="71">
        <v>162.72</v>
      </c>
      <c r="G16" s="262">
        <v>44594.0</v>
      </c>
      <c r="H16" s="19" t="s">
        <v>36</v>
      </c>
    </row>
    <row r="17" ht="15.0" customHeight="1">
      <c r="A17" s="23" t="s">
        <v>88</v>
      </c>
      <c r="B17" s="23" t="s">
        <v>225</v>
      </c>
      <c r="C17" s="23" t="s">
        <v>575</v>
      </c>
      <c r="D17" s="23" t="s">
        <v>260</v>
      </c>
      <c r="E17" s="23">
        <v>50.0</v>
      </c>
      <c r="F17" s="71">
        <v>76.07</v>
      </c>
      <c r="G17" s="262">
        <v>44594.0</v>
      </c>
      <c r="H17" s="19" t="s">
        <v>36</v>
      </c>
    </row>
    <row r="18" ht="15.0" customHeight="1">
      <c r="A18" s="23" t="s">
        <v>90</v>
      </c>
      <c r="B18" s="23" t="s">
        <v>230</v>
      </c>
      <c r="C18" s="23" t="s">
        <v>91</v>
      </c>
      <c r="D18" s="23" t="s">
        <v>253</v>
      </c>
      <c r="E18" s="23">
        <v>125.0</v>
      </c>
      <c r="F18" s="71">
        <v>69.26</v>
      </c>
      <c r="G18" s="262">
        <v>44594.0</v>
      </c>
      <c r="H18" s="19">
        <v>0.078480224</v>
      </c>
    </row>
    <row r="19" ht="15.0" customHeight="1">
      <c r="A19" s="23" t="s">
        <v>133</v>
      </c>
      <c r="B19" s="23" t="s">
        <v>226</v>
      </c>
      <c r="C19" s="23" t="s">
        <v>91</v>
      </c>
      <c r="D19" s="23" t="s">
        <v>261</v>
      </c>
      <c r="E19" s="23">
        <v>39.0</v>
      </c>
      <c r="F19" s="71">
        <v>77.73</v>
      </c>
      <c r="G19" s="262">
        <v>44594.0</v>
      </c>
      <c r="H19" s="19">
        <v>0.917365565</v>
      </c>
    </row>
    <row r="20" ht="15.0" customHeight="1">
      <c r="A20" s="23" t="s">
        <v>544</v>
      </c>
      <c r="B20" s="23" t="s">
        <v>576</v>
      </c>
      <c r="C20" s="23" t="s">
        <v>91</v>
      </c>
      <c r="D20" s="23" t="s">
        <v>261</v>
      </c>
      <c r="E20" s="23">
        <v>23.0</v>
      </c>
      <c r="F20" s="71">
        <v>67.34</v>
      </c>
      <c r="G20" s="262">
        <v>44594.0</v>
      </c>
      <c r="H20" s="19">
        <v>0.265076085</v>
      </c>
    </row>
    <row r="21" ht="15.0" customHeight="1">
      <c r="A21" s="23" t="s">
        <v>577</v>
      </c>
      <c r="B21" s="23" t="s">
        <v>578</v>
      </c>
      <c r="C21" s="23" t="s">
        <v>91</v>
      </c>
      <c r="D21" s="23" t="s">
        <v>261</v>
      </c>
      <c r="E21" s="23">
        <v>174.0</v>
      </c>
      <c r="F21" s="71">
        <v>14.3</v>
      </c>
      <c r="G21" s="262">
        <v>44594.0</v>
      </c>
      <c r="H21" s="19">
        <v>-0.076823757</v>
      </c>
    </row>
    <row r="22" ht="15.0" customHeight="1">
      <c r="A22" s="23" t="s">
        <v>537</v>
      </c>
      <c r="B22" s="23" t="s">
        <v>579</v>
      </c>
      <c r="C22" s="23" t="s">
        <v>91</v>
      </c>
      <c r="D22" s="23" t="s">
        <v>261</v>
      </c>
      <c r="E22" s="23">
        <v>219.0</v>
      </c>
      <c r="F22" s="71">
        <v>12.87</v>
      </c>
      <c r="G22" s="262">
        <v>44594.0</v>
      </c>
      <c r="H22" s="19">
        <v>-0.207512315</v>
      </c>
    </row>
    <row r="23" ht="15.0" customHeight="1">
      <c r="A23" s="23" t="s">
        <v>29</v>
      </c>
      <c r="B23" s="23" t="s">
        <v>59</v>
      </c>
      <c r="C23" s="23" t="s">
        <v>17</v>
      </c>
      <c r="D23" s="23" t="s">
        <v>261</v>
      </c>
      <c r="E23" s="23">
        <v>141.0</v>
      </c>
      <c r="F23" s="71">
        <v>111.91</v>
      </c>
      <c r="G23" s="262">
        <v>44594.0</v>
      </c>
      <c r="H23" s="19">
        <v>-0.046763203</v>
      </c>
    </row>
    <row r="24" ht="15.0" customHeight="1">
      <c r="A24" s="23" t="s">
        <v>501</v>
      </c>
      <c r="B24" s="23" t="s">
        <v>502</v>
      </c>
      <c r="C24" s="23" t="s">
        <v>81</v>
      </c>
      <c r="D24" s="23" t="s">
        <v>261</v>
      </c>
      <c r="E24" s="23">
        <v>104.0</v>
      </c>
      <c r="F24" s="71">
        <v>114.92</v>
      </c>
      <c r="G24" s="262">
        <v>44594.0</v>
      </c>
      <c r="H24" s="19">
        <v>-0.257070821</v>
      </c>
    </row>
    <row r="25" ht="15.0" customHeight="1">
      <c r="A25" s="23" t="s">
        <v>103</v>
      </c>
      <c r="B25" s="23" t="s">
        <v>398</v>
      </c>
      <c r="C25" s="23" t="s">
        <v>79</v>
      </c>
      <c r="D25" s="23" t="s">
        <v>261</v>
      </c>
      <c r="E25" s="23">
        <v>328.0</v>
      </c>
      <c r="F25" s="71">
        <v>75.76</v>
      </c>
      <c r="G25" s="262">
        <v>44599.0</v>
      </c>
      <c r="H25" s="19">
        <v>0.9446</v>
      </c>
    </row>
    <row r="26" ht="15.0" customHeight="1">
      <c r="A26" s="23" t="s">
        <v>78</v>
      </c>
      <c r="B26" s="23" t="s">
        <v>191</v>
      </c>
      <c r="C26" s="23" t="s">
        <v>79</v>
      </c>
      <c r="D26" s="23" t="s">
        <v>260</v>
      </c>
      <c r="E26" s="23">
        <v>619.0</v>
      </c>
      <c r="F26" s="71">
        <v>40.14</v>
      </c>
      <c r="G26" s="262">
        <v>44599.0</v>
      </c>
      <c r="H26" s="23" t="s">
        <v>36</v>
      </c>
    </row>
    <row r="27" ht="15.0" customHeight="1">
      <c r="A27" s="23" t="s">
        <v>580</v>
      </c>
      <c r="B27" s="23" t="s">
        <v>581</v>
      </c>
      <c r="C27" s="23" t="s">
        <v>17</v>
      </c>
      <c r="D27" s="23" t="s">
        <v>253</v>
      </c>
      <c r="E27" s="23">
        <v>2429.0</v>
      </c>
      <c r="F27" s="71">
        <v>7.6</v>
      </c>
      <c r="G27" s="262">
        <v>44599.0</v>
      </c>
      <c r="H27" s="19">
        <v>-0.1639</v>
      </c>
    </row>
    <row r="28" ht="15.0" customHeight="1">
      <c r="A28" s="23" t="s">
        <v>29</v>
      </c>
      <c r="B28" s="23" t="s">
        <v>59</v>
      </c>
      <c r="C28" s="23" t="s">
        <v>17</v>
      </c>
      <c r="D28" s="23" t="s">
        <v>260</v>
      </c>
      <c r="E28" s="23">
        <v>167.0</v>
      </c>
      <c r="F28" s="71">
        <v>110.56</v>
      </c>
      <c r="G28" s="262">
        <v>44599.0</v>
      </c>
      <c r="H28" s="23" t="s">
        <v>36</v>
      </c>
    </row>
    <row r="29" ht="15.0" customHeight="1">
      <c r="A29" s="23" t="s">
        <v>283</v>
      </c>
      <c r="B29" s="23" t="s">
        <v>284</v>
      </c>
      <c r="C29" s="23" t="s">
        <v>575</v>
      </c>
      <c r="D29" s="23" t="s">
        <v>253</v>
      </c>
      <c r="E29" s="23">
        <v>685.0</v>
      </c>
      <c r="F29" s="71">
        <v>46.79</v>
      </c>
      <c r="G29" s="262">
        <v>44614.0</v>
      </c>
      <c r="H29" s="19">
        <v>0.027674061</v>
      </c>
    </row>
    <row r="30" ht="15.0" customHeight="1">
      <c r="A30" s="23" t="s">
        <v>88</v>
      </c>
      <c r="B30" s="23" t="s">
        <v>225</v>
      </c>
      <c r="C30" s="23" t="s">
        <v>575</v>
      </c>
      <c r="D30" s="23" t="s">
        <v>260</v>
      </c>
      <c r="E30" s="23">
        <v>476.0</v>
      </c>
      <c r="F30" s="71">
        <v>67.4</v>
      </c>
      <c r="G30" s="262">
        <v>44614.0</v>
      </c>
      <c r="H30" s="23" t="s">
        <v>36</v>
      </c>
    </row>
    <row r="31" ht="15.0" customHeight="1">
      <c r="A31" s="23" t="s">
        <v>582</v>
      </c>
      <c r="B31" s="23" t="s">
        <v>583</v>
      </c>
      <c r="C31" s="23" t="s">
        <v>74</v>
      </c>
      <c r="D31" s="23" t="s">
        <v>253</v>
      </c>
      <c r="E31" s="23">
        <v>653.0</v>
      </c>
      <c r="F31" s="71">
        <v>45.18</v>
      </c>
      <c r="G31" s="262">
        <v>44614.0</v>
      </c>
      <c r="H31" s="19">
        <v>0.44576</v>
      </c>
    </row>
    <row r="32" ht="15.0" customHeight="1">
      <c r="A32" s="23" t="s">
        <v>73</v>
      </c>
      <c r="B32" s="23" t="s">
        <v>168</v>
      </c>
      <c r="C32" s="23" t="s">
        <v>74</v>
      </c>
      <c r="D32" s="23" t="s">
        <v>260</v>
      </c>
      <c r="E32" s="23">
        <v>392.0</v>
      </c>
      <c r="F32" s="71">
        <v>75.34</v>
      </c>
      <c r="G32" s="262">
        <v>44614.0</v>
      </c>
      <c r="H32" s="23" t="s">
        <v>36</v>
      </c>
    </row>
    <row r="33" ht="15.0" customHeight="1">
      <c r="A33" s="23" t="s">
        <v>106</v>
      </c>
      <c r="B33" s="23" t="s">
        <v>180</v>
      </c>
      <c r="C33" s="23" t="s">
        <v>79</v>
      </c>
      <c r="D33" s="23" t="s">
        <v>264</v>
      </c>
      <c r="E33" s="23">
        <v>595.0</v>
      </c>
      <c r="F33" s="71">
        <v>46.95</v>
      </c>
      <c r="G33" s="262">
        <v>44620.0</v>
      </c>
      <c r="H33" s="23" t="s">
        <v>36</v>
      </c>
    </row>
    <row r="34" ht="15.0" customHeight="1">
      <c r="A34" s="23" t="s">
        <v>78</v>
      </c>
      <c r="B34" s="23" t="s">
        <v>191</v>
      </c>
      <c r="C34" s="23" t="s">
        <v>79</v>
      </c>
      <c r="D34" s="23" t="s">
        <v>253</v>
      </c>
      <c r="E34" s="23">
        <v>731.0</v>
      </c>
      <c r="F34" s="71">
        <v>38.3</v>
      </c>
      <c r="G34" s="262">
        <v>44620.0</v>
      </c>
      <c r="H34" s="19">
        <v>-0.0442</v>
      </c>
    </row>
    <row r="35" ht="15.0" customHeight="1">
      <c r="A35" s="23" t="s">
        <v>568</v>
      </c>
      <c r="B35" s="23" t="s">
        <v>569</v>
      </c>
      <c r="C35" s="23" t="s">
        <v>77</v>
      </c>
      <c r="D35" s="23" t="s">
        <v>253</v>
      </c>
      <c r="E35" s="23">
        <v>479.0</v>
      </c>
      <c r="F35" s="71">
        <v>60.8</v>
      </c>
      <c r="G35" s="262">
        <v>44624.0</v>
      </c>
      <c r="H35" s="19">
        <v>0.033310673</v>
      </c>
    </row>
    <row r="36" ht="15.0" customHeight="1">
      <c r="A36" s="23" t="s">
        <v>99</v>
      </c>
      <c r="B36" s="23" t="s">
        <v>170</v>
      </c>
      <c r="C36" s="23" t="s">
        <v>77</v>
      </c>
      <c r="D36" s="23" t="s">
        <v>261</v>
      </c>
      <c r="E36" s="23">
        <v>84.0</v>
      </c>
      <c r="F36" s="71">
        <v>136.05</v>
      </c>
      <c r="G36" s="262">
        <v>44624.0</v>
      </c>
      <c r="H36" s="19">
        <v>0.843745765</v>
      </c>
    </row>
    <row r="37" ht="15.0" customHeight="1">
      <c r="A37" s="23" t="s">
        <v>76</v>
      </c>
      <c r="B37" s="23" t="s">
        <v>176</v>
      </c>
      <c r="C37" s="23" t="s">
        <v>77</v>
      </c>
      <c r="D37" s="23" t="s">
        <v>264</v>
      </c>
      <c r="E37" s="23">
        <v>553.0</v>
      </c>
      <c r="F37" s="71">
        <v>73.49</v>
      </c>
      <c r="G37" s="262">
        <v>44624.0</v>
      </c>
      <c r="H37" s="23" t="s">
        <v>36</v>
      </c>
    </row>
    <row r="38" ht="15.0" customHeight="1">
      <c r="A38" s="23" t="s">
        <v>459</v>
      </c>
      <c r="B38" s="23" t="s">
        <v>460</v>
      </c>
      <c r="C38" s="23" t="s">
        <v>83</v>
      </c>
      <c r="D38" s="23" t="s">
        <v>261</v>
      </c>
      <c r="E38" s="23">
        <v>166.0</v>
      </c>
      <c r="F38" s="71">
        <v>99.13</v>
      </c>
      <c r="G38" s="262">
        <v>44624.0</v>
      </c>
      <c r="H38" s="19">
        <v>0.273509764</v>
      </c>
    </row>
    <row r="39" ht="15.0" customHeight="1">
      <c r="A39" s="23" t="s">
        <v>82</v>
      </c>
      <c r="B39" s="23" t="s">
        <v>209</v>
      </c>
      <c r="C39" s="23" t="s">
        <v>83</v>
      </c>
      <c r="D39" s="23" t="s">
        <v>260</v>
      </c>
      <c r="E39" s="23">
        <v>165.0</v>
      </c>
      <c r="F39" s="71">
        <v>99.44</v>
      </c>
      <c r="G39" s="262">
        <v>44624.0</v>
      </c>
      <c r="H39" s="23" t="s">
        <v>36</v>
      </c>
    </row>
    <row r="40" ht="15.0" customHeight="1">
      <c r="A40" s="23" t="s">
        <v>577</v>
      </c>
      <c r="B40" s="23" t="s">
        <v>578</v>
      </c>
      <c r="C40" s="23" t="s">
        <v>91</v>
      </c>
      <c r="D40" s="23" t="s">
        <v>253</v>
      </c>
      <c r="E40" s="23">
        <v>1367.0</v>
      </c>
      <c r="F40" s="71">
        <v>14.5</v>
      </c>
      <c r="G40" s="262">
        <v>44624.0</v>
      </c>
      <c r="H40" s="19">
        <v>-0.063912201</v>
      </c>
    </row>
    <row r="41" ht="15.0" customHeight="1">
      <c r="A41" s="23" t="s">
        <v>90</v>
      </c>
      <c r="B41" s="23" t="s">
        <v>230</v>
      </c>
      <c r="C41" s="23" t="s">
        <v>91</v>
      </c>
      <c r="D41" s="23" t="s">
        <v>264</v>
      </c>
      <c r="E41" s="23">
        <v>286.0</v>
      </c>
      <c r="F41" s="71">
        <v>69.18</v>
      </c>
      <c r="G41" s="262">
        <v>44624.0</v>
      </c>
      <c r="H41" s="23" t="s">
        <v>36</v>
      </c>
    </row>
    <row r="42" ht="15.0" customHeight="1">
      <c r="A42" s="23" t="s">
        <v>96</v>
      </c>
      <c r="B42" s="23" t="s">
        <v>405</v>
      </c>
      <c r="C42" s="23" t="s">
        <v>74</v>
      </c>
      <c r="D42" s="23" t="s">
        <v>264</v>
      </c>
      <c r="E42" s="23">
        <v>307.0</v>
      </c>
      <c r="F42" s="71">
        <v>92.64</v>
      </c>
      <c r="G42" s="262">
        <v>44627.0</v>
      </c>
      <c r="H42" s="23" t="s">
        <v>36</v>
      </c>
    </row>
    <row r="43" ht="15.0" customHeight="1">
      <c r="A43" s="23" t="s">
        <v>73</v>
      </c>
      <c r="B43" s="23" t="s">
        <v>168</v>
      </c>
      <c r="C43" s="23" t="s">
        <v>74</v>
      </c>
      <c r="D43" s="23" t="s">
        <v>261</v>
      </c>
      <c r="E43" s="23">
        <v>376.0</v>
      </c>
      <c r="F43" s="71">
        <v>75.28</v>
      </c>
      <c r="G43" s="262">
        <v>44627.0</v>
      </c>
      <c r="H43" s="19">
        <v>-0.005416832</v>
      </c>
    </row>
    <row r="44" ht="15.0" customHeight="1">
      <c r="A44" s="23" t="s">
        <v>584</v>
      </c>
      <c r="B44" s="23" t="s">
        <v>201</v>
      </c>
      <c r="C44" s="23" t="s">
        <v>83</v>
      </c>
      <c r="D44" s="23" t="s">
        <v>264</v>
      </c>
      <c r="E44" s="23">
        <v>127.0</v>
      </c>
      <c r="F44" s="71">
        <v>224.22</v>
      </c>
      <c r="G44" s="262">
        <v>44627.0</v>
      </c>
      <c r="H44" s="23" t="s">
        <v>36</v>
      </c>
    </row>
    <row r="45" ht="15.0" customHeight="1">
      <c r="A45" s="23" t="s">
        <v>82</v>
      </c>
      <c r="B45" s="23" t="s">
        <v>209</v>
      </c>
      <c r="C45" s="23" t="s">
        <v>83</v>
      </c>
      <c r="D45" s="23" t="s">
        <v>261</v>
      </c>
      <c r="E45" s="23">
        <v>283.0</v>
      </c>
      <c r="F45" s="71">
        <v>100.41</v>
      </c>
      <c r="G45" s="262">
        <v>44627.0</v>
      </c>
      <c r="H45" s="19">
        <v>0.020634275</v>
      </c>
    </row>
    <row r="46" ht="15.0" customHeight="1">
      <c r="A46" s="23" t="s">
        <v>111</v>
      </c>
      <c r="B46" s="23" t="s">
        <v>393</v>
      </c>
      <c r="C46" s="23" t="s">
        <v>81</v>
      </c>
      <c r="D46" s="23" t="s">
        <v>264</v>
      </c>
      <c r="E46" s="23">
        <v>368.0</v>
      </c>
      <c r="F46" s="71">
        <v>77.25</v>
      </c>
      <c r="G46" s="262">
        <v>44627.0</v>
      </c>
      <c r="H46" s="23" t="s">
        <v>36</v>
      </c>
    </row>
    <row r="47" ht="15.0" customHeight="1">
      <c r="A47" s="23" t="s">
        <v>80</v>
      </c>
      <c r="B47" s="23" t="s">
        <v>200</v>
      </c>
      <c r="C47" s="23" t="s">
        <v>81</v>
      </c>
      <c r="D47" s="23" t="s">
        <v>261</v>
      </c>
      <c r="E47" s="23">
        <v>217.0</v>
      </c>
      <c r="F47" s="71">
        <v>130.83</v>
      </c>
      <c r="G47" s="262">
        <v>44627.0</v>
      </c>
      <c r="H47" s="19">
        <v>0.265647673</v>
      </c>
    </row>
    <row r="48" ht="15.75" customHeight="1">
      <c r="A48" s="23" t="s">
        <v>318</v>
      </c>
      <c r="B48" s="23" t="s">
        <v>585</v>
      </c>
      <c r="C48" s="23" t="s">
        <v>69</v>
      </c>
      <c r="D48" s="23" t="s">
        <v>264</v>
      </c>
      <c r="E48" s="23">
        <v>36.0</v>
      </c>
      <c r="F48" s="71">
        <v>51.9</v>
      </c>
      <c r="G48" s="262">
        <v>44627.0</v>
      </c>
      <c r="H48" s="23" t="s">
        <v>36</v>
      </c>
    </row>
    <row r="49" ht="15.75" customHeight="1">
      <c r="A49" s="23" t="s">
        <v>586</v>
      </c>
      <c r="B49" s="23" t="s">
        <v>587</v>
      </c>
      <c r="C49" s="23" t="s">
        <v>69</v>
      </c>
      <c r="D49" s="23" t="s">
        <v>264</v>
      </c>
      <c r="E49" s="23">
        <v>11.0</v>
      </c>
      <c r="F49" s="71">
        <v>172.42</v>
      </c>
      <c r="G49" s="262">
        <v>44627.0</v>
      </c>
      <c r="H49" s="23" t="s">
        <v>36</v>
      </c>
    </row>
    <row r="50" ht="15.75" customHeight="1">
      <c r="A50" s="23" t="s">
        <v>356</v>
      </c>
      <c r="B50" s="23" t="s">
        <v>529</v>
      </c>
      <c r="C50" s="23" t="s">
        <v>69</v>
      </c>
      <c r="D50" s="23" t="s">
        <v>264</v>
      </c>
      <c r="E50" s="23">
        <v>76.0</v>
      </c>
      <c r="F50" s="71">
        <v>24.85</v>
      </c>
      <c r="G50" s="262">
        <v>44627.0</v>
      </c>
      <c r="H50" s="23" t="s">
        <v>36</v>
      </c>
    </row>
    <row r="51" ht="15.75" customHeight="1">
      <c r="A51" s="23" t="s">
        <v>150</v>
      </c>
      <c r="B51" s="23" t="s">
        <v>588</v>
      </c>
      <c r="C51" s="23" t="s">
        <v>69</v>
      </c>
      <c r="D51" s="23" t="s">
        <v>264</v>
      </c>
      <c r="E51" s="23">
        <v>49.0</v>
      </c>
      <c r="F51" s="71">
        <v>38.56</v>
      </c>
      <c r="G51" s="262">
        <v>44627.0</v>
      </c>
      <c r="H51" s="23" t="s">
        <v>36</v>
      </c>
    </row>
    <row r="52" ht="15.75" customHeight="1">
      <c r="A52" s="23" t="s">
        <v>589</v>
      </c>
      <c r="B52" s="23" t="s">
        <v>590</v>
      </c>
      <c r="C52" s="23" t="s">
        <v>69</v>
      </c>
      <c r="D52" s="23" t="s">
        <v>264</v>
      </c>
      <c r="E52" s="23">
        <v>14.0</v>
      </c>
      <c r="F52" s="71">
        <v>137.05</v>
      </c>
      <c r="G52" s="262">
        <v>44627.0</v>
      </c>
      <c r="H52" s="23" t="s">
        <v>36</v>
      </c>
    </row>
    <row r="53" ht="15.75" customHeight="1">
      <c r="A53" s="23" t="s">
        <v>573</v>
      </c>
      <c r="B53" s="23" t="s">
        <v>574</v>
      </c>
      <c r="C53" s="23" t="s">
        <v>85</v>
      </c>
      <c r="D53" s="23" t="s">
        <v>253</v>
      </c>
      <c r="E53" s="23">
        <v>537.0</v>
      </c>
      <c r="F53" s="71">
        <v>21.2</v>
      </c>
      <c r="G53" s="262">
        <v>44631.0</v>
      </c>
      <c r="H53" s="19">
        <v>-0.027968822</v>
      </c>
    </row>
    <row r="54" ht="15.75" customHeight="1">
      <c r="A54" s="23" t="s">
        <v>120</v>
      </c>
      <c r="B54" s="23" t="s">
        <v>211</v>
      </c>
      <c r="C54" s="23" t="s">
        <v>85</v>
      </c>
      <c r="D54" s="23" t="s">
        <v>264</v>
      </c>
      <c r="E54" s="23">
        <v>177.0</v>
      </c>
      <c r="F54" s="71">
        <v>64.34</v>
      </c>
      <c r="G54" s="262">
        <v>44631.0</v>
      </c>
      <c r="H54" s="23" t="s">
        <v>36</v>
      </c>
    </row>
    <row r="55" ht="15.75" customHeight="1">
      <c r="A55" s="23" t="s">
        <v>591</v>
      </c>
      <c r="B55" s="23" t="s">
        <v>592</v>
      </c>
      <c r="C55" s="23" t="s">
        <v>17</v>
      </c>
      <c r="D55" s="23" t="s">
        <v>253</v>
      </c>
      <c r="E55" s="23">
        <v>21.0</v>
      </c>
      <c r="F55" s="71">
        <v>1041.64</v>
      </c>
      <c r="G55" s="262">
        <v>44631.0</v>
      </c>
      <c r="H55" s="19">
        <v>-0.086280702</v>
      </c>
    </row>
    <row r="56" ht="15.75" customHeight="1">
      <c r="A56" s="23" t="s">
        <v>29</v>
      </c>
      <c r="B56" s="23" t="s">
        <v>59</v>
      </c>
      <c r="C56" s="23" t="s">
        <v>17</v>
      </c>
      <c r="D56" s="23" t="s">
        <v>260</v>
      </c>
      <c r="E56" s="23">
        <v>202.0</v>
      </c>
      <c r="F56" s="71">
        <v>108.375</v>
      </c>
      <c r="G56" s="262">
        <v>44631.0</v>
      </c>
      <c r="H56" s="23" t="s">
        <v>36</v>
      </c>
    </row>
    <row r="57" ht="15.75" customHeight="1">
      <c r="A57" s="23" t="s">
        <v>88</v>
      </c>
      <c r="B57" s="23" t="s">
        <v>225</v>
      </c>
      <c r="C57" s="23" t="s">
        <v>575</v>
      </c>
      <c r="D57" s="23" t="s">
        <v>261</v>
      </c>
      <c r="E57" s="23">
        <v>418.0</v>
      </c>
      <c r="F57" s="71">
        <v>71.2</v>
      </c>
      <c r="G57" s="262">
        <v>44655.0</v>
      </c>
      <c r="H57" s="19">
        <v>8.0E-4</v>
      </c>
    </row>
    <row r="58" ht="15.75" customHeight="1">
      <c r="A58" s="23" t="s">
        <v>593</v>
      </c>
      <c r="B58" s="23" t="s">
        <v>222</v>
      </c>
      <c r="C58" s="23" t="s">
        <v>575</v>
      </c>
      <c r="D58" s="23" t="s">
        <v>264</v>
      </c>
      <c r="E58" s="23">
        <v>127.0</v>
      </c>
      <c r="F58" s="71">
        <v>233.54</v>
      </c>
      <c r="G58" s="262">
        <v>44655.0</v>
      </c>
      <c r="H58" s="23" t="s">
        <v>36</v>
      </c>
    </row>
    <row r="59" ht="15.75" customHeight="1">
      <c r="A59" s="23" t="s">
        <v>318</v>
      </c>
      <c r="B59" s="23" t="s">
        <v>585</v>
      </c>
      <c r="C59" s="23" t="s">
        <v>69</v>
      </c>
      <c r="D59" s="23" t="s">
        <v>253</v>
      </c>
      <c r="E59" s="23">
        <v>36.0</v>
      </c>
      <c r="F59" s="71">
        <v>50.73</v>
      </c>
      <c r="G59" s="262">
        <v>44658.0</v>
      </c>
      <c r="H59" s="19">
        <v>-0.0225</v>
      </c>
    </row>
    <row r="60" ht="15.75" customHeight="1">
      <c r="A60" s="23" t="s">
        <v>356</v>
      </c>
      <c r="B60" s="23" t="s">
        <v>529</v>
      </c>
      <c r="C60" s="23" t="s">
        <v>69</v>
      </c>
      <c r="D60" s="23" t="s">
        <v>253</v>
      </c>
      <c r="E60" s="23">
        <v>76.0</v>
      </c>
      <c r="F60" s="71">
        <v>24.89</v>
      </c>
      <c r="G60" s="262">
        <v>44658.0</v>
      </c>
      <c r="H60" s="19">
        <v>0.0016</v>
      </c>
    </row>
    <row r="61" ht="15.75" customHeight="1">
      <c r="A61" s="23" t="s">
        <v>150</v>
      </c>
      <c r="B61" s="23" t="s">
        <v>588</v>
      </c>
      <c r="C61" s="23" t="s">
        <v>69</v>
      </c>
      <c r="D61" s="23" t="s">
        <v>253</v>
      </c>
      <c r="E61" s="23">
        <v>49.0</v>
      </c>
      <c r="F61" s="71">
        <v>36.13</v>
      </c>
      <c r="G61" s="262">
        <v>44658.0</v>
      </c>
      <c r="H61" s="19">
        <v>-0.063</v>
      </c>
    </row>
    <row r="62" ht="15.75" customHeight="1">
      <c r="A62" s="23" t="s">
        <v>589</v>
      </c>
      <c r="B62" s="23" t="s">
        <v>590</v>
      </c>
      <c r="C62" s="23" t="s">
        <v>69</v>
      </c>
      <c r="D62" s="23" t="s">
        <v>261</v>
      </c>
      <c r="E62" s="23">
        <v>1.0</v>
      </c>
      <c r="F62" s="71">
        <v>151.6</v>
      </c>
      <c r="G62" s="262">
        <v>44658.0</v>
      </c>
      <c r="H62" s="19">
        <v>0.1062</v>
      </c>
    </row>
    <row r="63" ht="15.75" customHeight="1">
      <c r="A63" s="23" t="s">
        <v>594</v>
      </c>
      <c r="B63" s="23" t="s">
        <v>595</v>
      </c>
      <c r="C63" s="23" t="s">
        <v>69</v>
      </c>
      <c r="D63" s="23" t="s">
        <v>264</v>
      </c>
      <c r="E63" s="23">
        <v>14.0</v>
      </c>
      <c r="F63" s="71">
        <v>140.76</v>
      </c>
      <c r="G63" s="262">
        <v>44658.0</v>
      </c>
      <c r="H63" s="23" t="s">
        <v>36</v>
      </c>
    </row>
    <row r="64" ht="15.75" customHeight="1">
      <c r="A64" s="23" t="s">
        <v>552</v>
      </c>
      <c r="B64" s="23" t="s">
        <v>596</v>
      </c>
      <c r="C64" s="23" t="s">
        <v>69</v>
      </c>
      <c r="D64" s="23" t="s">
        <v>264</v>
      </c>
      <c r="E64" s="23">
        <v>47.0</v>
      </c>
      <c r="F64" s="71">
        <v>40.75</v>
      </c>
      <c r="G64" s="262">
        <v>44658.0</v>
      </c>
      <c r="H64" s="23" t="s">
        <v>36</v>
      </c>
    </row>
    <row r="65" ht="15.75" customHeight="1">
      <c r="A65" s="23" t="s">
        <v>467</v>
      </c>
      <c r="B65" s="23" t="s">
        <v>597</v>
      </c>
      <c r="C65" s="23" t="s">
        <v>69</v>
      </c>
      <c r="D65" s="23" t="s">
        <v>264</v>
      </c>
      <c r="E65" s="23">
        <v>8.0</v>
      </c>
      <c r="F65" s="71">
        <v>255.47</v>
      </c>
      <c r="G65" s="262">
        <v>44658.0</v>
      </c>
      <c r="H65" s="23" t="s">
        <v>36</v>
      </c>
    </row>
    <row r="66" ht="15.75" customHeight="1">
      <c r="A66" s="23" t="s">
        <v>598</v>
      </c>
      <c r="B66" s="23" t="s">
        <v>599</v>
      </c>
      <c r="C66" s="23" t="s">
        <v>575</v>
      </c>
      <c r="D66" s="23" t="s">
        <v>253</v>
      </c>
      <c r="E66" s="23">
        <v>1631.0</v>
      </c>
      <c r="F66" s="71">
        <v>7.78</v>
      </c>
      <c r="G66" s="262">
        <v>44669.0</v>
      </c>
      <c r="H66" s="19">
        <v>-0.589878756</v>
      </c>
    </row>
    <row r="67" ht="15.75" customHeight="1">
      <c r="A67" s="23" t="s">
        <v>88</v>
      </c>
      <c r="B67" s="23" t="s">
        <v>225</v>
      </c>
      <c r="C67" s="23" t="s">
        <v>575</v>
      </c>
      <c r="D67" s="23" t="s">
        <v>260</v>
      </c>
      <c r="E67" s="23">
        <v>193.0</v>
      </c>
      <c r="F67" s="71">
        <v>65.77</v>
      </c>
      <c r="G67" s="262">
        <v>44669.0</v>
      </c>
      <c r="H67" s="23" t="s">
        <v>36</v>
      </c>
    </row>
    <row r="68" ht="15.75" customHeight="1">
      <c r="A68" s="23" t="s">
        <v>600</v>
      </c>
      <c r="B68" s="23" t="s">
        <v>601</v>
      </c>
      <c r="C68" s="23" t="s">
        <v>79</v>
      </c>
      <c r="D68" s="23" t="s">
        <v>253</v>
      </c>
      <c r="E68" s="23">
        <v>256.0</v>
      </c>
      <c r="F68" s="71">
        <v>136.31</v>
      </c>
      <c r="G68" s="262">
        <v>44669.0</v>
      </c>
      <c r="H68" s="19">
        <v>1.781836735</v>
      </c>
    </row>
    <row r="69" ht="15.75" customHeight="1">
      <c r="A69" s="23" t="s">
        <v>78</v>
      </c>
      <c r="B69" s="23" t="s">
        <v>191</v>
      </c>
      <c r="C69" s="23" t="s">
        <v>79</v>
      </c>
      <c r="D69" s="23" t="s">
        <v>264</v>
      </c>
      <c r="E69" s="23">
        <v>943.0</v>
      </c>
      <c r="F69" s="71">
        <v>36.99</v>
      </c>
      <c r="G69" s="262">
        <v>44669.0</v>
      </c>
      <c r="H69" s="23" t="s">
        <v>36</v>
      </c>
    </row>
    <row r="70" ht="15.75" customHeight="1">
      <c r="A70" s="23" t="s">
        <v>100</v>
      </c>
      <c r="B70" s="23" t="s">
        <v>392</v>
      </c>
      <c r="C70" s="23" t="s">
        <v>77</v>
      </c>
      <c r="D70" s="23" t="s">
        <v>264</v>
      </c>
      <c r="E70" s="23">
        <v>563.0</v>
      </c>
      <c r="F70" s="71">
        <v>51.0</v>
      </c>
      <c r="G70" s="262">
        <v>44669.0</v>
      </c>
      <c r="H70" s="23" t="s">
        <v>36</v>
      </c>
    </row>
    <row r="71" ht="15.75" customHeight="1">
      <c r="A71" s="23" t="s">
        <v>76</v>
      </c>
      <c r="B71" s="23" t="s">
        <v>176</v>
      </c>
      <c r="C71" s="23" t="s">
        <v>77</v>
      </c>
      <c r="D71" s="23" t="s">
        <v>261</v>
      </c>
      <c r="E71" s="23">
        <v>354.0</v>
      </c>
      <c r="F71" s="71">
        <v>81.07</v>
      </c>
      <c r="G71" s="262">
        <v>44669.0</v>
      </c>
      <c r="H71" s="19">
        <v>0.103143285</v>
      </c>
    </row>
    <row r="72" ht="15.75" customHeight="1">
      <c r="A72" s="23" t="s">
        <v>115</v>
      </c>
      <c r="B72" s="23" t="s">
        <v>331</v>
      </c>
      <c r="C72" s="23" t="s">
        <v>83</v>
      </c>
      <c r="D72" s="23" t="s">
        <v>264</v>
      </c>
      <c r="E72" s="23">
        <v>92.0</v>
      </c>
      <c r="F72" s="71">
        <v>302.35</v>
      </c>
      <c r="G72" s="262">
        <v>44676.0</v>
      </c>
      <c r="H72" s="23" t="s">
        <v>36</v>
      </c>
    </row>
    <row r="73" ht="15.75" customHeight="1">
      <c r="A73" s="23" t="s">
        <v>82</v>
      </c>
      <c r="B73" s="23" t="s">
        <v>209</v>
      </c>
      <c r="C73" s="23" t="s">
        <v>83</v>
      </c>
      <c r="D73" s="23" t="s">
        <v>261</v>
      </c>
      <c r="E73" s="23">
        <v>288.0</v>
      </c>
      <c r="F73" s="71">
        <v>96.32</v>
      </c>
      <c r="G73" s="262">
        <v>44676.0</v>
      </c>
      <c r="H73" s="19">
        <v>-0.078630189</v>
      </c>
    </row>
    <row r="74" ht="15.75" customHeight="1">
      <c r="A74" s="23" t="s">
        <v>94</v>
      </c>
      <c r="B74" s="23" t="s">
        <v>157</v>
      </c>
      <c r="C74" s="23" t="s">
        <v>72</v>
      </c>
      <c r="D74" s="23" t="s">
        <v>264</v>
      </c>
      <c r="E74" s="23">
        <v>212.0</v>
      </c>
      <c r="F74" s="71">
        <v>130.66</v>
      </c>
      <c r="G74" s="262">
        <v>44676.0</v>
      </c>
      <c r="H74" s="23" t="s">
        <v>36</v>
      </c>
    </row>
    <row r="75" ht="15.75" customHeight="1">
      <c r="A75" s="23" t="s">
        <v>71</v>
      </c>
      <c r="B75" s="23" t="s">
        <v>161</v>
      </c>
      <c r="C75" s="23" t="s">
        <v>72</v>
      </c>
      <c r="D75" s="23" t="s">
        <v>261</v>
      </c>
      <c r="E75" s="23">
        <v>159.0</v>
      </c>
      <c r="F75" s="71">
        <v>173.85</v>
      </c>
      <c r="G75" s="262">
        <v>44676.0</v>
      </c>
      <c r="H75" s="19">
        <v>-0.02654124</v>
      </c>
    </row>
    <row r="76" ht="15.75" customHeight="1">
      <c r="F76" s="71"/>
    </row>
    <row r="77" ht="15.75" customHeight="1">
      <c r="F77" s="71"/>
    </row>
    <row r="78" ht="15.75" customHeight="1">
      <c r="F78" s="71"/>
    </row>
    <row r="79" ht="15.75" customHeight="1">
      <c r="F79" s="71"/>
    </row>
    <row r="80" ht="15.75" customHeight="1">
      <c r="F80" s="71"/>
    </row>
    <row r="81" ht="15.75" customHeight="1">
      <c r="F81" s="71"/>
    </row>
    <row r="82" ht="15.75" customHeight="1">
      <c r="F82" s="71"/>
    </row>
    <row r="83" ht="15.75" customHeight="1">
      <c r="F83" s="71"/>
    </row>
    <row r="84" ht="15.75" customHeight="1">
      <c r="F84" s="71"/>
    </row>
    <row r="85" ht="15.75" customHeight="1">
      <c r="F85" s="71"/>
    </row>
    <row r="86" ht="15.75" customHeight="1">
      <c r="F86" s="71"/>
    </row>
    <row r="87" ht="15.75" customHeight="1">
      <c r="F87" s="71"/>
    </row>
    <row r="88" ht="15.75" customHeight="1">
      <c r="F88" s="71"/>
    </row>
    <row r="89" ht="15.75" customHeight="1">
      <c r="F89" s="71"/>
    </row>
    <row r="90" ht="15.75" customHeight="1">
      <c r="F90" s="71"/>
    </row>
    <row r="91" ht="15.75" customHeight="1">
      <c r="F91" s="71"/>
    </row>
    <row r="92" ht="15.75" customHeight="1">
      <c r="F92" s="71"/>
    </row>
    <row r="93" ht="15.75" customHeight="1">
      <c r="F93" s="71"/>
    </row>
    <row r="94" ht="15.75" customHeight="1">
      <c r="F94" s="71"/>
    </row>
    <row r="95" ht="15.75" customHeight="1">
      <c r="F95" s="71"/>
    </row>
    <row r="96" ht="15.75" customHeight="1">
      <c r="F96" s="71"/>
    </row>
    <row r="97" ht="15.75" customHeight="1">
      <c r="F97" s="71"/>
    </row>
    <row r="98" ht="15.75" customHeight="1">
      <c r="F98" s="71"/>
    </row>
    <row r="99" ht="15.75" customHeight="1">
      <c r="F99" s="71"/>
    </row>
    <row r="100" ht="15.75" customHeight="1">
      <c r="F100" s="71"/>
    </row>
    <row r="101" ht="15.75" customHeight="1">
      <c r="F101" s="71"/>
    </row>
    <row r="102" ht="15.75" customHeight="1">
      <c r="F102" s="71"/>
    </row>
    <row r="103" ht="15.75" customHeight="1">
      <c r="F103" s="71"/>
    </row>
    <row r="104" ht="15.75" customHeight="1">
      <c r="F104" s="71"/>
    </row>
    <row r="105" ht="15.75" customHeight="1">
      <c r="F105" s="71"/>
    </row>
    <row r="106" ht="15.75" customHeight="1">
      <c r="F106" s="71"/>
    </row>
    <row r="107" ht="15.75" customHeight="1">
      <c r="F107" s="71"/>
    </row>
    <row r="108" ht="15.75" customHeight="1">
      <c r="F108" s="71"/>
    </row>
    <row r="109" ht="15.75" customHeight="1">
      <c r="F109" s="71"/>
    </row>
    <row r="110" ht="15.75" customHeight="1">
      <c r="F110" s="71"/>
    </row>
    <row r="111" ht="15.75" customHeight="1">
      <c r="F111" s="71"/>
    </row>
    <row r="112" ht="15.75" customHeight="1">
      <c r="F112" s="71"/>
    </row>
    <row r="113" ht="15.75" customHeight="1">
      <c r="F113" s="71"/>
    </row>
    <row r="114" ht="15.75" customHeight="1">
      <c r="F114" s="71"/>
    </row>
    <row r="115" ht="15.75" customHeight="1">
      <c r="F115" s="71"/>
    </row>
    <row r="116" ht="15.75" customHeight="1">
      <c r="F116" s="71"/>
    </row>
    <row r="117" ht="15.75" customHeight="1">
      <c r="F117" s="71"/>
    </row>
    <row r="118" ht="15.75" customHeight="1">
      <c r="F118" s="71"/>
    </row>
    <row r="119" ht="15.75" customHeight="1">
      <c r="F119" s="71"/>
    </row>
    <row r="120" ht="15.75" customHeight="1">
      <c r="F120" s="71"/>
    </row>
    <row r="121" ht="15.75" customHeight="1">
      <c r="F121" s="71"/>
    </row>
    <row r="122" ht="15.75" customHeight="1">
      <c r="F122" s="71"/>
    </row>
    <row r="123" ht="15.75" customHeight="1">
      <c r="F123" s="71"/>
    </row>
    <row r="124" ht="15.75" customHeight="1">
      <c r="F124" s="71"/>
    </row>
    <row r="125" ht="15.75" customHeight="1">
      <c r="F125" s="71"/>
    </row>
    <row r="126" ht="15.75" customHeight="1">
      <c r="F126" s="71"/>
    </row>
    <row r="127" ht="15.75" customHeight="1">
      <c r="F127" s="71"/>
    </row>
    <row r="128" ht="15.75" customHeight="1">
      <c r="F128" s="71"/>
    </row>
    <row r="129" ht="15.75" customHeight="1">
      <c r="F129" s="71"/>
    </row>
    <row r="130" ht="15.75" customHeight="1">
      <c r="F130" s="71"/>
    </row>
    <row r="131" ht="15.75" customHeight="1">
      <c r="F131" s="71"/>
    </row>
    <row r="132" ht="15.75" customHeight="1">
      <c r="F132" s="71"/>
    </row>
    <row r="133" ht="15.75" customHeight="1">
      <c r="F133" s="71"/>
    </row>
    <row r="134" ht="15.75" customHeight="1">
      <c r="F134" s="71"/>
    </row>
    <row r="135" ht="15.75" customHeight="1">
      <c r="F135" s="71"/>
    </row>
    <row r="136" ht="15.75" customHeight="1">
      <c r="F136" s="71"/>
    </row>
    <row r="137" ht="15.75" customHeight="1">
      <c r="F137" s="71"/>
    </row>
    <row r="138" ht="15.75" customHeight="1">
      <c r="F138" s="71"/>
    </row>
    <row r="139" ht="15.75" customHeight="1">
      <c r="F139" s="71"/>
    </row>
    <row r="140" ht="15.75" customHeight="1">
      <c r="F140" s="71"/>
    </row>
    <row r="141" ht="15.75" customHeight="1">
      <c r="F141" s="71"/>
    </row>
    <row r="142" ht="15.75" customHeight="1">
      <c r="F142" s="71"/>
    </row>
    <row r="143" ht="15.75" customHeight="1">
      <c r="F143" s="71"/>
    </row>
    <row r="144" ht="15.75" customHeight="1">
      <c r="F144" s="71"/>
    </row>
    <row r="145" ht="15.75" customHeight="1">
      <c r="F145" s="71"/>
    </row>
    <row r="146" ht="15.75" customHeight="1">
      <c r="F146" s="71"/>
    </row>
    <row r="147" ht="15.75" customHeight="1">
      <c r="F147" s="71"/>
    </row>
    <row r="148" ht="15.75" customHeight="1">
      <c r="F148" s="71"/>
    </row>
    <row r="149" ht="15.75" customHeight="1">
      <c r="F149" s="71"/>
    </row>
    <row r="150" ht="15.75" customHeight="1">
      <c r="F150" s="71"/>
    </row>
    <row r="151" ht="15.75" customHeight="1">
      <c r="F151" s="71"/>
    </row>
    <row r="152" ht="15.75" customHeight="1">
      <c r="F152" s="71"/>
    </row>
    <row r="153" ht="15.75" customHeight="1">
      <c r="F153" s="71"/>
    </row>
    <row r="154" ht="15.75" customHeight="1">
      <c r="F154" s="71"/>
    </row>
    <row r="155" ht="15.75" customHeight="1">
      <c r="F155" s="71"/>
    </row>
    <row r="156" ht="15.75" customHeight="1">
      <c r="F156" s="71"/>
    </row>
    <row r="157" ht="15.75" customHeight="1">
      <c r="F157" s="71"/>
    </row>
    <row r="158" ht="15.75" customHeight="1">
      <c r="F158" s="71"/>
    </row>
    <row r="159" ht="15.75" customHeight="1">
      <c r="F159" s="71"/>
    </row>
    <row r="160" ht="15.75" customHeight="1">
      <c r="F160" s="71"/>
    </row>
    <row r="161" ht="15.75" customHeight="1">
      <c r="F161" s="71"/>
    </row>
    <row r="162" ht="15.75" customHeight="1">
      <c r="F162" s="71"/>
    </row>
    <row r="163" ht="15.75" customHeight="1">
      <c r="F163" s="71"/>
    </row>
    <row r="164" ht="15.75" customHeight="1">
      <c r="F164" s="71"/>
    </row>
    <row r="165" ht="15.75" customHeight="1">
      <c r="F165" s="71"/>
    </row>
    <row r="166" ht="15.75" customHeight="1">
      <c r="F166" s="71"/>
    </row>
    <row r="167" ht="15.75" customHeight="1">
      <c r="F167" s="71"/>
    </row>
    <row r="168" ht="15.75" customHeight="1">
      <c r="F168" s="71"/>
    </row>
    <row r="169" ht="15.75" customHeight="1">
      <c r="F169" s="71"/>
    </row>
    <row r="170" ht="15.75" customHeight="1">
      <c r="F170" s="71"/>
    </row>
    <row r="171" ht="15.75" customHeight="1">
      <c r="F171" s="71"/>
    </row>
    <row r="172" ht="15.75" customHeight="1">
      <c r="F172" s="71"/>
    </row>
    <row r="173" ht="15.75" customHeight="1">
      <c r="F173" s="71"/>
    </row>
    <row r="174" ht="15.75" customHeight="1">
      <c r="F174" s="71"/>
    </row>
    <row r="175" ht="15.75" customHeight="1">
      <c r="F175" s="71"/>
    </row>
    <row r="176" ht="15.75" customHeight="1">
      <c r="F176" s="71"/>
    </row>
    <row r="177" ht="15.75" customHeight="1">
      <c r="F177" s="71"/>
    </row>
    <row r="178" ht="15.75" customHeight="1">
      <c r="F178" s="71"/>
    </row>
    <row r="179" ht="15.75" customHeight="1">
      <c r="F179" s="71"/>
    </row>
    <row r="180" ht="15.75" customHeight="1">
      <c r="F180" s="71"/>
    </row>
    <row r="181" ht="15.75" customHeight="1">
      <c r="F181" s="71"/>
    </row>
    <row r="182" ht="15.75" customHeight="1">
      <c r="F182" s="71"/>
    </row>
    <row r="183" ht="15.75" customHeight="1">
      <c r="F183" s="71"/>
    </row>
    <row r="184" ht="15.75" customHeight="1">
      <c r="F184" s="71"/>
    </row>
    <row r="185" ht="15.75" customHeight="1">
      <c r="F185" s="71"/>
    </row>
    <row r="186" ht="15.75" customHeight="1">
      <c r="F186" s="71"/>
    </row>
    <row r="187" ht="15.75" customHeight="1">
      <c r="F187" s="71"/>
    </row>
    <row r="188" ht="15.75" customHeight="1">
      <c r="F188" s="71"/>
    </row>
    <row r="189" ht="15.75" customHeight="1">
      <c r="F189" s="71"/>
    </row>
    <row r="190" ht="15.75" customHeight="1">
      <c r="F190" s="71"/>
    </row>
    <row r="191" ht="15.75" customHeight="1">
      <c r="F191" s="71"/>
    </row>
    <row r="192" ht="15.75" customHeight="1">
      <c r="F192" s="71"/>
    </row>
    <row r="193" ht="15.75" customHeight="1">
      <c r="F193" s="71"/>
    </row>
    <row r="194" ht="15.75" customHeight="1">
      <c r="F194" s="71"/>
    </row>
    <row r="195" ht="15.75" customHeight="1">
      <c r="F195" s="71"/>
    </row>
    <row r="196" ht="15.75" customHeight="1">
      <c r="F196" s="71"/>
    </row>
    <row r="197" ht="15.75" customHeight="1">
      <c r="F197" s="71"/>
    </row>
    <row r="198" ht="15.75" customHeight="1">
      <c r="F198" s="71"/>
    </row>
    <row r="199" ht="15.75" customHeight="1">
      <c r="F199" s="71"/>
    </row>
    <row r="200" ht="15.75" customHeight="1">
      <c r="F200" s="71"/>
    </row>
    <row r="201" ht="15.75" customHeight="1">
      <c r="F201" s="71"/>
    </row>
    <row r="202" ht="15.75" customHeight="1">
      <c r="F202" s="71"/>
    </row>
    <row r="203" ht="15.75" customHeight="1">
      <c r="F203" s="71"/>
    </row>
    <row r="204" ht="15.75" customHeight="1">
      <c r="F204" s="71"/>
    </row>
    <row r="205" ht="15.75" customHeight="1">
      <c r="F205" s="71"/>
    </row>
    <row r="206" ht="15.75" customHeight="1">
      <c r="F206" s="71"/>
    </row>
    <row r="207" ht="15.75" customHeight="1">
      <c r="F207" s="71"/>
    </row>
    <row r="208" ht="15.75" customHeight="1">
      <c r="F208" s="71"/>
    </row>
    <row r="209" ht="15.75" customHeight="1">
      <c r="F209" s="71"/>
    </row>
    <row r="210" ht="15.75" customHeight="1">
      <c r="F210" s="71"/>
    </row>
    <row r="211" ht="15.75" customHeight="1">
      <c r="F211" s="71"/>
    </row>
    <row r="212" ht="15.75" customHeight="1">
      <c r="F212" s="71"/>
    </row>
    <row r="213" ht="15.75" customHeight="1">
      <c r="F213" s="71"/>
    </row>
    <row r="214" ht="15.75" customHeight="1">
      <c r="F214" s="71"/>
    </row>
    <row r="215" ht="15.75" customHeight="1">
      <c r="F215" s="71"/>
    </row>
    <row r="216" ht="15.75" customHeight="1">
      <c r="F216" s="71"/>
    </row>
    <row r="217" ht="15.75" customHeight="1">
      <c r="F217" s="71"/>
    </row>
    <row r="218" ht="15.75" customHeight="1">
      <c r="F218" s="71"/>
    </row>
    <row r="219" ht="15.75" customHeight="1">
      <c r="F219" s="71"/>
    </row>
    <row r="220" ht="15.75" customHeight="1">
      <c r="F220" s="71"/>
    </row>
    <row r="221" ht="15.75" customHeight="1">
      <c r="F221" s="71"/>
    </row>
    <row r="222" ht="15.75" customHeight="1">
      <c r="F222" s="71"/>
    </row>
    <row r="223" ht="15.75" customHeight="1">
      <c r="F223" s="71"/>
    </row>
    <row r="224" ht="15.75" customHeight="1">
      <c r="F224" s="71"/>
    </row>
    <row r="225" ht="15.75" customHeight="1">
      <c r="F225" s="71"/>
    </row>
    <row r="226" ht="15.75" customHeight="1">
      <c r="F226" s="71"/>
    </row>
    <row r="227" ht="15.75" customHeight="1">
      <c r="F227" s="71"/>
    </row>
    <row r="228" ht="15.75" customHeight="1">
      <c r="F228" s="71"/>
    </row>
    <row r="229" ht="15.75" customHeight="1">
      <c r="F229" s="71"/>
    </row>
    <row r="230" ht="15.75" customHeight="1">
      <c r="F230" s="71"/>
    </row>
    <row r="231" ht="15.75" customHeight="1">
      <c r="F231" s="71"/>
    </row>
    <row r="232" ht="15.75" customHeight="1">
      <c r="F232" s="71"/>
    </row>
    <row r="233" ht="15.75" customHeight="1">
      <c r="F233" s="71"/>
    </row>
    <row r="234" ht="15.75" customHeight="1">
      <c r="F234" s="71"/>
    </row>
    <row r="235" ht="15.75" customHeight="1">
      <c r="F235" s="71"/>
    </row>
    <row r="236" ht="15.75" customHeight="1">
      <c r="F236" s="71"/>
    </row>
    <row r="237" ht="15.75" customHeight="1">
      <c r="F237" s="71"/>
    </row>
    <row r="238" ht="15.75" customHeight="1">
      <c r="F238" s="71"/>
    </row>
    <row r="239" ht="15.75" customHeight="1">
      <c r="F239" s="71"/>
    </row>
    <row r="240" ht="15.75" customHeight="1">
      <c r="F240" s="71"/>
    </row>
    <row r="241" ht="15.75" customHeight="1">
      <c r="F241" s="71"/>
    </row>
    <row r="242" ht="15.75" customHeight="1">
      <c r="F242" s="71"/>
    </row>
    <row r="243" ht="15.75" customHeight="1">
      <c r="F243" s="71"/>
    </row>
    <row r="244" ht="15.75" customHeight="1">
      <c r="F244" s="71"/>
    </row>
    <row r="245" ht="15.75" customHeight="1">
      <c r="F245" s="71"/>
    </row>
    <row r="246" ht="15.75" customHeight="1">
      <c r="F246" s="71"/>
    </row>
    <row r="247" ht="15.75" customHeight="1">
      <c r="F247" s="71"/>
    </row>
    <row r="248" ht="15.75" customHeight="1">
      <c r="F248" s="71"/>
    </row>
    <row r="249" ht="15.75" customHeight="1">
      <c r="F249" s="71"/>
    </row>
    <row r="250" ht="15.75" customHeight="1">
      <c r="F250" s="71"/>
    </row>
    <row r="251" ht="15.75" customHeight="1">
      <c r="F251" s="71"/>
    </row>
    <row r="252" ht="15.75" customHeight="1">
      <c r="F252" s="71"/>
    </row>
    <row r="253" ht="15.75" customHeight="1">
      <c r="F253" s="71"/>
    </row>
    <row r="254" ht="15.75" customHeight="1">
      <c r="F254" s="71"/>
    </row>
    <row r="255" ht="15.75" customHeight="1">
      <c r="F255" s="71"/>
    </row>
    <row r="256" ht="15.75" customHeight="1">
      <c r="F256" s="71"/>
    </row>
    <row r="257" ht="15.75" customHeight="1">
      <c r="F257" s="71"/>
    </row>
    <row r="258" ht="15.75" customHeight="1">
      <c r="F258" s="71"/>
    </row>
    <row r="259" ht="15.75" customHeight="1">
      <c r="F259" s="71"/>
    </row>
    <row r="260" ht="15.75" customHeight="1">
      <c r="F260" s="71"/>
    </row>
    <row r="261" ht="15.75" customHeight="1">
      <c r="F261" s="71"/>
    </row>
    <row r="262" ht="15.75" customHeight="1">
      <c r="F262" s="71"/>
    </row>
    <row r="263" ht="15.75" customHeight="1">
      <c r="F263" s="71"/>
    </row>
    <row r="264" ht="15.75" customHeight="1">
      <c r="F264" s="71"/>
    </row>
    <row r="265" ht="15.75" customHeight="1">
      <c r="F265" s="71"/>
    </row>
    <row r="266" ht="15.75" customHeight="1">
      <c r="F266" s="71"/>
    </row>
    <row r="267" ht="15.75" customHeight="1">
      <c r="F267" s="71"/>
    </row>
    <row r="268" ht="15.75" customHeight="1">
      <c r="F268" s="71"/>
    </row>
    <row r="269" ht="15.75" customHeight="1">
      <c r="F269" s="71"/>
    </row>
    <row r="270" ht="15.75" customHeight="1">
      <c r="F270" s="71"/>
    </row>
    <row r="271" ht="15.75" customHeight="1">
      <c r="F271" s="71"/>
    </row>
    <row r="272" ht="15.75" customHeight="1">
      <c r="F272" s="71"/>
    </row>
    <row r="273" ht="15.75" customHeight="1">
      <c r="F273" s="71"/>
    </row>
    <row r="274" ht="15.75" customHeight="1">
      <c r="F274" s="71"/>
    </row>
    <row r="275" ht="15.75" customHeight="1">
      <c r="F275" s="7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7.5"/>
    <col customWidth="1" min="3" max="3" width="19.13"/>
    <col customWidth="1" min="4" max="6" width="12.63"/>
  </cols>
  <sheetData>
    <row r="1" ht="15.0" customHeight="1">
      <c r="A1" s="260" t="s">
        <v>267</v>
      </c>
      <c r="B1" s="260" t="s">
        <v>1</v>
      </c>
      <c r="C1" s="260" t="s">
        <v>61</v>
      </c>
      <c r="D1" s="260" t="s">
        <v>248</v>
      </c>
      <c r="E1" s="260" t="s">
        <v>63</v>
      </c>
      <c r="F1" s="261" t="s">
        <v>249</v>
      </c>
      <c r="G1" s="260" t="s">
        <v>250</v>
      </c>
      <c r="H1" s="199" t="s">
        <v>251</v>
      </c>
    </row>
    <row r="2" ht="15.0" customHeight="1">
      <c r="A2" s="23" t="s">
        <v>602</v>
      </c>
      <c r="B2" s="23" t="s">
        <v>603</v>
      </c>
      <c r="C2" s="23" t="s">
        <v>85</v>
      </c>
      <c r="D2" s="23" t="s">
        <v>604</v>
      </c>
      <c r="E2" s="23">
        <v>215.0</v>
      </c>
      <c r="F2" s="71">
        <v>78.0</v>
      </c>
      <c r="G2" s="262">
        <v>44440.0</v>
      </c>
      <c r="H2" s="19">
        <v>0.19668610003068412</v>
      </c>
    </row>
    <row r="3" ht="15.0" customHeight="1">
      <c r="A3" s="23" t="s">
        <v>605</v>
      </c>
      <c r="B3" s="23" t="s">
        <v>606</v>
      </c>
      <c r="C3" s="23" t="s">
        <v>87</v>
      </c>
      <c r="D3" s="23" t="s">
        <v>253</v>
      </c>
      <c r="E3" s="23">
        <v>273.0</v>
      </c>
      <c r="F3" s="71">
        <v>299.7285</v>
      </c>
      <c r="G3" s="262">
        <v>44460.0</v>
      </c>
      <c r="H3" s="19">
        <f>((273 * 299.7285) - (273 *77.13))/(273 * 77.13)</f>
        <v>2.886017114</v>
      </c>
    </row>
    <row r="4" ht="15.0" customHeight="1">
      <c r="A4" s="23" t="s">
        <v>86</v>
      </c>
      <c r="B4" s="23" t="s">
        <v>221</v>
      </c>
      <c r="C4" s="23" t="s">
        <v>87</v>
      </c>
      <c r="D4" s="23" t="s">
        <v>264</v>
      </c>
      <c r="E4" s="23">
        <v>534.0</v>
      </c>
      <c r="F4" s="71">
        <v>153.135</v>
      </c>
      <c r="G4" s="262">
        <v>44460.0</v>
      </c>
      <c r="H4" s="23" t="s">
        <v>36</v>
      </c>
    </row>
    <row r="5" ht="15.0" customHeight="1">
      <c r="A5" s="23" t="s">
        <v>607</v>
      </c>
      <c r="B5" s="23" t="s">
        <v>608</v>
      </c>
      <c r="C5" s="23" t="s">
        <v>77</v>
      </c>
      <c r="D5" s="23" t="s">
        <v>253</v>
      </c>
      <c r="E5" s="23">
        <v>373.0</v>
      </c>
      <c r="F5" s="71">
        <v>44.8477</v>
      </c>
      <c r="G5" s="262">
        <v>44470.0</v>
      </c>
      <c r="H5" s="19">
        <f>((373*F5) - (373*35.85))/(373*35.85)</f>
        <v>0.2509818689</v>
      </c>
    </row>
    <row r="6" ht="15.0" customHeight="1">
      <c r="A6" s="23" t="s">
        <v>609</v>
      </c>
      <c r="B6" s="23" t="s">
        <v>610</v>
      </c>
      <c r="C6" s="23" t="s">
        <v>74</v>
      </c>
      <c r="D6" s="23" t="s">
        <v>253</v>
      </c>
      <c r="E6" s="23">
        <v>175.0</v>
      </c>
      <c r="F6" s="71">
        <v>140.7858</v>
      </c>
      <c r="G6" s="262">
        <v>44470.0</v>
      </c>
      <c r="H6" s="19">
        <f>((E6*F6)-(E6*128.72))/(E6*128.72)</f>
        <v>0.09373679304</v>
      </c>
    </row>
    <row r="7" ht="15.0" customHeight="1">
      <c r="A7" s="23" t="s">
        <v>611</v>
      </c>
      <c r="B7" s="23" t="s">
        <v>612</v>
      </c>
      <c r="C7" s="23" t="s">
        <v>79</v>
      </c>
      <c r="D7" s="23" t="s">
        <v>253</v>
      </c>
      <c r="E7" s="23">
        <v>315.0</v>
      </c>
      <c r="F7" s="71">
        <v>44.28</v>
      </c>
      <c r="G7" s="262">
        <v>44470.0</v>
      </c>
      <c r="H7" s="19">
        <f>((E7*F7)-(E7*45.51))/(E7*45.51)</f>
        <v>-0.02702702703</v>
      </c>
    </row>
    <row r="8" ht="15.0" customHeight="1">
      <c r="A8" s="23" t="s">
        <v>462</v>
      </c>
      <c r="B8" s="23" t="s">
        <v>613</v>
      </c>
      <c r="C8" s="23" t="s">
        <v>72</v>
      </c>
      <c r="D8" s="23" t="s">
        <v>261</v>
      </c>
      <c r="E8" s="23">
        <v>59.0</v>
      </c>
      <c r="F8" s="71">
        <v>329.6692</v>
      </c>
      <c r="G8" s="262">
        <v>44470.0</v>
      </c>
      <c r="H8" s="19">
        <f>((E8*F8) - (E8*61.41))/(E8*61.41)</f>
        <v>4.368330891</v>
      </c>
    </row>
    <row r="9" ht="15.0" customHeight="1">
      <c r="A9" s="23" t="s">
        <v>71</v>
      </c>
      <c r="B9" s="23" t="s">
        <v>614</v>
      </c>
      <c r="C9" s="23" t="s">
        <v>72</v>
      </c>
      <c r="D9" s="23" t="s">
        <v>260</v>
      </c>
      <c r="E9" s="23">
        <v>54.0</v>
      </c>
      <c r="F9" s="71">
        <v>179.75</v>
      </c>
      <c r="G9" s="262">
        <v>44475.0</v>
      </c>
      <c r="H9" s="23" t="s">
        <v>36</v>
      </c>
    </row>
    <row r="10" ht="15.0" customHeight="1">
      <c r="A10" s="23" t="s">
        <v>80</v>
      </c>
      <c r="B10" s="23" t="s">
        <v>200</v>
      </c>
      <c r="C10" s="23" t="s">
        <v>81</v>
      </c>
      <c r="D10" s="23" t="s">
        <v>260</v>
      </c>
      <c r="E10" s="23">
        <v>118.0</v>
      </c>
      <c r="F10" s="71">
        <v>125.6782</v>
      </c>
      <c r="G10" s="262">
        <v>44475.0</v>
      </c>
      <c r="H10" s="23" t="s">
        <v>36</v>
      </c>
    </row>
    <row r="11" ht="15.0" customHeight="1">
      <c r="A11" s="23" t="s">
        <v>84</v>
      </c>
      <c r="B11" s="23" t="s">
        <v>521</v>
      </c>
      <c r="C11" s="23" t="s">
        <v>85</v>
      </c>
      <c r="D11" s="23" t="s">
        <v>264</v>
      </c>
      <c r="E11" s="23">
        <v>386.0</v>
      </c>
      <c r="F11" s="71">
        <v>44.325</v>
      </c>
      <c r="G11" s="262">
        <v>44475.0</v>
      </c>
      <c r="H11" s="23" t="s">
        <v>36</v>
      </c>
    </row>
    <row r="12" ht="15.0" customHeight="1">
      <c r="A12" s="23" t="s">
        <v>90</v>
      </c>
      <c r="B12" s="23" t="s">
        <v>230</v>
      </c>
      <c r="C12" s="23" t="s">
        <v>91</v>
      </c>
      <c r="D12" s="23" t="s">
        <v>260</v>
      </c>
      <c r="E12" s="23">
        <v>118.0</v>
      </c>
      <c r="F12" s="71">
        <v>64.26</v>
      </c>
      <c r="G12" s="262">
        <v>44475.0</v>
      </c>
      <c r="H12" s="23" t="s">
        <v>36</v>
      </c>
    </row>
    <row r="13" ht="15.0" customHeight="1">
      <c r="A13" s="23" t="s">
        <v>86</v>
      </c>
      <c r="B13" s="23" t="s">
        <v>221</v>
      </c>
      <c r="C13" s="23" t="s">
        <v>87</v>
      </c>
      <c r="D13" s="23" t="s">
        <v>260</v>
      </c>
      <c r="E13" s="23">
        <v>110.0</v>
      </c>
      <c r="F13" s="71">
        <v>148.4193</v>
      </c>
      <c r="G13" s="262">
        <v>44475.0</v>
      </c>
      <c r="H13" s="23" t="s">
        <v>36</v>
      </c>
    </row>
    <row r="14" ht="15.0" customHeight="1">
      <c r="A14" s="23" t="s">
        <v>525</v>
      </c>
      <c r="B14" s="23" t="s">
        <v>615</v>
      </c>
      <c r="C14" s="23" t="s">
        <v>83</v>
      </c>
      <c r="D14" s="23" t="s">
        <v>264</v>
      </c>
      <c r="E14" s="23">
        <v>486.0</v>
      </c>
      <c r="F14" s="71">
        <v>61.6338</v>
      </c>
      <c r="G14" s="262">
        <v>44477.0</v>
      </c>
      <c r="H14" s="23" t="s">
        <v>36</v>
      </c>
    </row>
    <row r="15" ht="15.0" customHeight="1">
      <c r="A15" s="23" t="s">
        <v>616</v>
      </c>
      <c r="B15" s="23" t="s">
        <v>617</v>
      </c>
      <c r="C15" s="23" t="s">
        <v>74</v>
      </c>
      <c r="D15" s="23" t="s">
        <v>253</v>
      </c>
      <c r="E15" s="23">
        <v>149.0</v>
      </c>
      <c r="F15" s="71">
        <v>133.4829</v>
      </c>
      <c r="G15" s="262">
        <v>44477.0</v>
      </c>
      <c r="H15" s="19">
        <f>((E15*F15)-(E15*124.99))/(E15*124.99)</f>
        <v>0.06794863589</v>
      </c>
    </row>
    <row r="16" ht="15.0" customHeight="1">
      <c r="A16" s="23" t="s">
        <v>73</v>
      </c>
      <c r="B16" s="23" t="s">
        <v>168</v>
      </c>
      <c r="C16" s="23" t="s">
        <v>74</v>
      </c>
      <c r="D16" s="23" t="s">
        <v>264</v>
      </c>
      <c r="E16" s="23">
        <v>330.0</v>
      </c>
      <c r="F16" s="71">
        <v>70.1019</v>
      </c>
      <c r="G16" s="262">
        <v>44477.0</v>
      </c>
      <c r="H16" s="23" t="s">
        <v>36</v>
      </c>
    </row>
    <row r="17" ht="15.0" customHeight="1">
      <c r="A17" s="23" t="s">
        <v>365</v>
      </c>
      <c r="B17" s="23" t="s">
        <v>618</v>
      </c>
      <c r="C17" s="23" t="s">
        <v>81</v>
      </c>
      <c r="D17" s="23" t="s">
        <v>261</v>
      </c>
      <c r="E17" s="23">
        <v>106.0</v>
      </c>
      <c r="F17" s="71">
        <v>277.1155</v>
      </c>
      <c r="G17" s="262">
        <v>44477.0</v>
      </c>
      <c r="H17" s="19">
        <f>((E17*F17)-(E17*143.36))/(E17*143.36)</f>
        <v>0.9330043248</v>
      </c>
    </row>
    <row r="18" ht="15.0" customHeight="1">
      <c r="A18" s="23" t="s">
        <v>80</v>
      </c>
      <c r="B18" s="23" t="s">
        <v>200</v>
      </c>
      <c r="C18" s="23" t="s">
        <v>81</v>
      </c>
      <c r="D18" s="23" t="s">
        <v>260</v>
      </c>
      <c r="E18" s="23">
        <v>231.0</v>
      </c>
      <c r="F18" s="71">
        <v>127.3083</v>
      </c>
      <c r="G18" s="262">
        <v>44477.0</v>
      </c>
      <c r="H18" s="23" t="s">
        <v>36</v>
      </c>
    </row>
    <row r="19" ht="15.0" customHeight="1">
      <c r="A19" s="23" t="s">
        <v>82</v>
      </c>
      <c r="B19" s="23" t="s">
        <v>209</v>
      </c>
      <c r="C19" s="23" t="s">
        <v>83</v>
      </c>
      <c r="D19" s="23" t="s">
        <v>261</v>
      </c>
      <c r="E19" s="23">
        <v>200.0</v>
      </c>
      <c r="F19" s="71">
        <v>100.84</v>
      </c>
      <c r="G19" s="262">
        <v>44477.0</v>
      </c>
      <c r="H19" s="23" t="s">
        <v>36</v>
      </c>
    </row>
    <row r="20" ht="15.0" customHeight="1">
      <c r="A20" s="23" t="s">
        <v>619</v>
      </c>
      <c r="B20" s="23" t="s">
        <v>620</v>
      </c>
      <c r="C20" s="23" t="s">
        <v>17</v>
      </c>
      <c r="D20" s="23" t="s">
        <v>264</v>
      </c>
      <c r="E20" s="23"/>
      <c r="F20" s="71"/>
      <c r="G20" s="262"/>
      <c r="H20" s="23"/>
    </row>
    <row r="21" ht="15.0" customHeight="1">
      <c r="A21" s="23" t="s">
        <v>86</v>
      </c>
      <c r="B21" s="23" t="s">
        <v>221</v>
      </c>
      <c r="C21" s="23" t="s">
        <v>87</v>
      </c>
      <c r="D21" s="23" t="s">
        <v>261</v>
      </c>
      <c r="E21" s="23">
        <v>192.0</v>
      </c>
      <c r="F21" s="71">
        <v>159.89</v>
      </c>
      <c r="G21" s="262">
        <v>44496.0</v>
      </c>
      <c r="H21" s="23" t="s">
        <v>36</v>
      </c>
    </row>
    <row r="22" ht="15.0" customHeight="1">
      <c r="A22" s="23" t="s">
        <v>124</v>
      </c>
      <c r="B22" s="23" t="s">
        <v>215</v>
      </c>
      <c r="C22" s="23" t="s">
        <v>87</v>
      </c>
      <c r="D22" s="23" t="s">
        <v>264</v>
      </c>
      <c r="E22" s="23">
        <v>232.0</v>
      </c>
      <c r="F22" s="71">
        <v>133.4919</v>
      </c>
      <c r="G22" s="262">
        <v>44496.0</v>
      </c>
      <c r="H22" s="23" t="s">
        <v>36</v>
      </c>
    </row>
    <row r="23" ht="15.0" customHeight="1">
      <c r="A23" s="23" t="s">
        <v>422</v>
      </c>
      <c r="B23" s="23" t="s">
        <v>423</v>
      </c>
      <c r="C23" s="23" t="s">
        <v>262</v>
      </c>
      <c r="D23" s="23" t="s">
        <v>264</v>
      </c>
      <c r="E23" s="23">
        <v>342.0</v>
      </c>
      <c r="F23" s="71">
        <v>45.735</v>
      </c>
      <c r="G23" s="262">
        <v>44501.0</v>
      </c>
      <c r="H23" s="23" t="s">
        <v>36</v>
      </c>
    </row>
    <row r="24" ht="15.0" customHeight="1">
      <c r="A24" s="23" t="s">
        <v>84</v>
      </c>
      <c r="B24" s="23" t="s">
        <v>521</v>
      </c>
      <c r="C24" s="23" t="s">
        <v>262</v>
      </c>
      <c r="D24" s="23" t="s">
        <v>253</v>
      </c>
      <c r="E24" s="23">
        <v>386.0</v>
      </c>
      <c r="F24" s="71">
        <v>47.64</v>
      </c>
      <c r="G24" s="262">
        <v>44501.0</v>
      </c>
      <c r="H24" s="19">
        <v>0.0723</v>
      </c>
    </row>
    <row r="25" ht="15.0" customHeight="1">
      <c r="A25" s="23" t="s">
        <v>93</v>
      </c>
      <c r="B25" s="23" t="s">
        <v>414</v>
      </c>
      <c r="C25" s="23" t="s">
        <v>72</v>
      </c>
      <c r="D25" s="23" t="s">
        <v>264</v>
      </c>
      <c r="E25" s="23">
        <v>236.0</v>
      </c>
      <c r="F25" s="71">
        <v>131.81</v>
      </c>
      <c r="G25" s="262">
        <v>44501.0</v>
      </c>
      <c r="H25" s="23" t="s">
        <v>36</v>
      </c>
    </row>
    <row r="26" ht="15.0" customHeight="1">
      <c r="A26" s="23" t="s">
        <v>71</v>
      </c>
      <c r="B26" s="23" t="s">
        <v>547</v>
      </c>
      <c r="C26" s="23" t="s">
        <v>72</v>
      </c>
      <c r="D26" s="23" t="s">
        <v>261</v>
      </c>
      <c r="E26" s="23">
        <v>165.0</v>
      </c>
      <c r="F26" s="71">
        <v>202.025</v>
      </c>
      <c r="G26" s="262">
        <v>44501.0</v>
      </c>
      <c r="H26" s="23" t="s">
        <v>36</v>
      </c>
    </row>
    <row r="27" ht="15.0" customHeight="1">
      <c r="A27" s="23" t="s">
        <v>102</v>
      </c>
      <c r="B27" s="23" t="s">
        <v>421</v>
      </c>
      <c r="C27" s="23" t="s">
        <v>79</v>
      </c>
      <c r="D27" s="23" t="s">
        <v>261</v>
      </c>
      <c r="E27" s="23">
        <f>396-147</f>
        <v>249</v>
      </c>
      <c r="F27" s="71">
        <v>104.8943</v>
      </c>
      <c r="G27" s="262">
        <v>44501.0</v>
      </c>
      <c r="H27" s="19">
        <v>1.2299</v>
      </c>
    </row>
    <row r="28" ht="15.0" customHeight="1">
      <c r="A28" s="23" t="s">
        <v>90</v>
      </c>
      <c r="B28" s="23" t="s">
        <v>230</v>
      </c>
      <c r="C28" s="23" t="s">
        <v>621</v>
      </c>
      <c r="D28" s="23" t="s">
        <v>261</v>
      </c>
      <c r="E28" s="23">
        <v>435.0</v>
      </c>
      <c r="F28" s="71">
        <v>66.9046</v>
      </c>
      <c r="G28" s="262">
        <v>44510.0</v>
      </c>
      <c r="H28" s="23" t="s">
        <v>36</v>
      </c>
    </row>
    <row r="29" ht="15.0" customHeight="1">
      <c r="A29" s="23" t="s">
        <v>537</v>
      </c>
      <c r="B29" s="23" t="s">
        <v>538</v>
      </c>
      <c r="C29" s="23" t="s">
        <v>91</v>
      </c>
      <c r="D29" s="23" t="s">
        <v>264</v>
      </c>
      <c r="E29" s="23">
        <v>1944.0</v>
      </c>
      <c r="F29" s="71">
        <v>16.2398</v>
      </c>
      <c r="G29" s="262">
        <v>44510.0</v>
      </c>
      <c r="H29" s="23" t="s">
        <v>36</v>
      </c>
    </row>
    <row r="30" ht="15.0" customHeight="1">
      <c r="A30" s="23" t="s">
        <v>80</v>
      </c>
      <c r="B30" s="23" t="s">
        <v>622</v>
      </c>
      <c r="C30" s="23" t="s">
        <v>81</v>
      </c>
      <c r="D30" s="23" t="s">
        <v>261</v>
      </c>
      <c r="E30" s="23">
        <v>235.0</v>
      </c>
      <c r="F30" s="71">
        <v>133.69</v>
      </c>
      <c r="G30" s="263">
        <v>44515.0</v>
      </c>
      <c r="H30" s="23" t="s">
        <v>36</v>
      </c>
    </row>
    <row r="31" ht="15.0" customHeight="1">
      <c r="A31" s="23" t="s">
        <v>501</v>
      </c>
      <c r="B31" s="23" t="s">
        <v>502</v>
      </c>
      <c r="C31" s="23" t="s">
        <v>81</v>
      </c>
      <c r="D31" s="23" t="s">
        <v>264</v>
      </c>
      <c r="E31" s="23">
        <v>203.0</v>
      </c>
      <c r="F31" s="71">
        <v>154.685</v>
      </c>
      <c r="G31" s="263">
        <v>44515.0</v>
      </c>
      <c r="H31" s="23" t="s">
        <v>36</v>
      </c>
    </row>
    <row r="32" ht="15.0" customHeight="1">
      <c r="A32" s="23" t="s">
        <v>623</v>
      </c>
      <c r="B32" s="23" t="s">
        <v>624</v>
      </c>
      <c r="C32" s="23" t="s">
        <v>17</v>
      </c>
      <c r="D32" s="23" t="s">
        <v>264</v>
      </c>
      <c r="E32" s="23"/>
      <c r="F32" s="71"/>
      <c r="G32" s="263"/>
      <c r="H32" s="23"/>
    </row>
    <row r="33" ht="15.0" customHeight="1">
      <c r="A33" s="23" t="s">
        <v>625</v>
      </c>
      <c r="B33" s="23" t="s">
        <v>626</v>
      </c>
      <c r="C33" s="23" t="s">
        <v>17</v>
      </c>
      <c r="D33" s="23" t="s">
        <v>261</v>
      </c>
      <c r="E33" s="23">
        <v>205.0</v>
      </c>
      <c r="F33" s="71">
        <v>113.9699</v>
      </c>
      <c r="G33" s="263">
        <v>44516.0</v>
      </c>
      <c r="H33" s="23" t="s">
        <v>36</v>
      </c>
    </row>
    <row r="34" ht="15.0" customHeight="1">
      <c r="A34" s="23" t="s">
        <v>627</v>
      </c>
      <c r="B34" s="23" t="s">
        <v>628</v>
      </c>
      <c r="C34" s="23" t="s">
        <v>83</v>
      </c>
      <c r="D34" s="23" t="s">
        <v>253</v>
      </c>
      <c r="E34" s="23">
        <v>225.0</v>
      </c>
      <c r="F34" s="71">
        <v>207.63</v>
      </c>
      <c r="G34" s="263">
        <v>44524.0</v>
      </c>
      <c r="H34" s="19">
        <f>((E34*F34)-(E34*118.94))/(E34*118.94)</f>
        <v>0.7456700858</v>
      </c>
    </row>
    <row r="35" ht="15.0" customHeight="1">
      <c r="A35" s="23" t="s">
        <v>82</v>
      </c>
      <c r="B35" s="23" t="s">
        <v>209</v>
      </c>
      <c r="C35" s="23" t="s">
        <v>83</v>
      </c>
      <c r="D35" s="23" t="s">
        <v>260</v>
      </c>
      <c r="E35" s="23">
        <v>255.0</v>
      </c>
      <c r="F35" s="71">
        <v>105.871</v>
      </c>
      <c r="G35" s="263">
        <v>44524.0</v>
      </c>
      <c r="H35" s="23" t="s">
        <v>36</v>
      </c>
    </row>
    <row r="36" ht="15.0" customHeight="1">
      <c r="A36" s="23" t="s">
        <v>177</v>
      </c>
      <c r="B36" s="23" t="s">
        <v>629</v>
      </c>
      <c r="C36" s="23" t="s">
        <v>79</v>
      </c>
      <c r="D36" s="23" t="s">
        <v>264</v>
      </c>
      <c r="E36" s="23">
        <v>314.0</v>
      </c>
      <c r="F36" s="71">
        <v>98.4668</v>
      </c>
      <c r="G36" s="263">
        <v>44524.0</v>
      </c>
      <c r="H36" s="23" t="s">
        <v>36</v>
      </c>
    </row>
    <row r="37" ht="15.0" customHeight="1">
      <c r="A37" s="23" t="s">
        <v>88</v>
      </c>
      <c r="B37" s="23" t="s">
        <v>630</v>
      </c>
      <c r="C37" s="23" t="s">
        <v>575</v>
      </c>
      <c r="D37" s="23" t="s">
        <v>261</v>
      </c>
      <c r="E37" s="23">
        <v>250.0</v>
      </c>
      <c r="F37" s="71">
        <v>78.1407</v>
      </c>
      <c r="G37" s="263">
        <v>44524.0</v>
      </c>
      <c r="H37" s="23" t="s">
        <v>36</v>
      </c>
    </row>
    <row r="38" ht="15.0" customHeight="1">
      <c r="A38" s="23" t="s">
        <v>598</v>
      </c>
      <c r="B38" s="23" t="s">
        <v>631</v>
      </c>
      <c r="C38" s="23" t="s">
        <v>575</v>
      </c>
      <c r="D38" s="23" t="s">
        <v>264</v>
      </c>
      <c r="E38" s="23">
        <v>1631.0</v>
      </c>
      <c r="F38" s="71">
        <v>18.97</v>
      </c>
      <c r="G38" s="263">
        <v>44524.0</v>
      </c>
      <c r="H38" s="23" t="s">
        <v>36</v>
      </c>
    </row>
    <row r="39" ht="15.0" customHeight="1">
      <c r="A39" s="23" t="s">
        <v>71</v>
      </c>
      <c r="B39" s="23" t="s">
        <v>547</v>
      </c>
      <c r="C39" s="23" t="s">
        <v>72</v>
      </c>
      <c r="D39" s="23" t="s">
        <v>261</v>
      </c>
      <c r="E39" s="23">
        <v>155.0</v>
      </c>
      <c r="F39" s="71">
        <v>206.48</v>
      </c>
      <c r="G39" s="263">
        <v>44538.0</v>
      </c>
      <c r="H39" s="23" t="s">
        <v>36</v>
      </c>
    </row>
    <row r="40" ht="15.0" customHeight="1">
      <c r="A40" s="23" t="s">
        <v>527</v>
      </c>
      <c r="B40" s="23" t="s">
        <v>632</v>
      </c>
      <c r="C40" s="23" t="s">
        <v>72</v>
      </c>
      <c r="D40" s="23" t="s">
        <v>264</v>
      </c>
      <c r="E40" s="23">
        <v>535.0</v>
      </c>
      <c r="F40" s="71">
        <v>58.56</v>
      </c>
      <c r="G40" s="263">
        <v>44538.0</v>
      </c>
      <c r="H40" s="23" t="s">
        <v>36</v>
      </c>
    </row>
    <row r="41" ht="15.0" customHeight="1">
      <c r="A41" s="23" t="s">
        <v>86</v>
      </c>
      <c r="B41" s="23" t="s">
        <v>221</v>
      </c>
      <c r="C41" s="23" t="s">
        <v>87</v>
      </c>
      <c r="D41" s="23" t="s">
        <v>261</v>
      </c>
      <c r="E41" s="23">
        <v>104.0</v>
      </c>
      <c r="F41" s="71">
        <v>172.2232</v>
      </c>
      <c r="G41" s="263">
        <v>44538.0</v>
      </c>
      <c r="H41" s="23" t="s">
        <v>36</v>
      </c>
    </row>
    <row r="42" ht="15.0" customHeight="1">
      <c r="A42" s="23" t="s">
        <v>509</v>
      </c>
      <c r="B42" s="23" t="s">
        <v>633</v>
      </c>
      <c r="C42" s="23" t="s">
        <v>87</v>
      </c>
      <c r="D42" s="23" t="s">
        <v>260</v>
      </c>
      <c r="E42" s="23">
        <v>93.0</v>
      </c>
      <c r="F42" s="71">
        <v>193.36</v>
      </c>
      <c r="G42" s="263">
        <v>44538.0</v>
      </c>
      <c r="H42" s="23" t="s">
        <v>36</v>
      </c>
    </row>
    <row r="43" ht="15.0" customHeight="1">
      <c r="A43" s="23" t="s">
        <v>73</v>
      </c>
      <c r="B43" s="23" t="s">
        <v>168</v>
      </c>
      <c r="C43" s="23" t="s">
        <v>74</v>
      </c>
      <c r="D43" s="23" t="s">
        <v>261</v>
      </c>
      <c r="E43" s="23">
        <v>330.0</v>
      </c>
      <c r="F43" s="71">
        <v>72.895</v>
      </c>
      <c r="G43" s="263">
        <v>44538.0</v>
      </c>
      <c r="H43" s="23" t="s">
        <v>36</v>
      </c>
    </row>
    <row r="44" ht="15.0" customHeight="1">
      <c r="A44" s="23" t="s">
        <v>535</v>
      </c>
      <c r="B44" s="23" t="s">
        <v>634</v>
      </c>
      <c r="C44" s="23" t="s">
        <v>74</v>
      </c>
      <c r="D44" s="23" t="s">
        <v>264</v>
      </c>
      <c r="E44" s="23">
        <v>1258.0</v>
      </c>
      <c r="F44" s="71">
        <v>24.85</v>
      </c>
      <c r="G44" s="263">
        <v>44538.0</v>
      </c>
      <c r="H44" s="23" t="s">
        <v>36</v>
      </c>
    </row>
    <row r="45" ht="15.0" customHeight="1">
      <c r="F45" s="71"/>
    </row>
    <row r="46" ht="15.0" customHeight="1">
      <c r="F46" s="71"/>
    </row>
    <row r="47" ht="15.0" customHeight="1">
      <c r="F47" s="71"/>
    </row>
    <row r="48" ht="15.75" customHeight="1">
      <c r="F48" s="71"/>
    </row>
    <row r="49" ht="15.75" customHeight="1">
      <c r="F49" s="71"/>
    </row>
    <row r="50" ht="15.75" customHeight="1">
      <c r="F50" s="71"/>
    </row>
    <row r="51" ht="15.75" customHeight="1">
      <c r="F51" s="71"/>
    </row>
    <row r="52" ht="15.75" customHeight="1">
      <c r="F52" s="71"/>
    </row>
    <row r="53" ht="15.75" customHeight="1">
      <c r="F53" s="71"/>
    </row>
    <row r="54" ht="15.75" customHeight="1">
      <c r="F54" s="71"/>
    </row>
    <row r="55" ht="15.75" customHeight="1">
      <c r="F55" s="71"/>
    </row>
    <row r="56" ht="15.75" customHeight="1">
      <c r="F56" s="71"/>
    </row>
    <row r="57" ht="15.75" customHeight="1">
      <c r="F57" s="71"/>
    </row>
    <row r="58" ht="15.75" customHeight="1">
      <c r="F58" s="71"/>
    </row>
    <row r="59" ht="15.75" customHeight="1">
      <c r="F59" s="71"/>
    </row>
    <row r="60" ht="15.75" customHeight="1">
      <c r="F60" s="71"/>
    </row>
    <row r="61" ht="15.75" customHeight="1">
      <c r="F61" s="71"/>
    </row>
    <row r="62" ht="15.75" customHeight="1">
      <c r="F62" s="71"/>
    </row>
    <row r="63" ht="15.75" customHeight="1">
      <c r="F63" s="71"/>
    </row>
    <row r="64" ht="15.75" customHeight="1">
      <c r="F64" s="71"/>
    </row>
    <row r="65" ht="15.75" customHeight="1">
      <c r="F65" s="71"/>
    </row>
    <row r="66" ht="15.75" customHeight="1">
      <c r="F66" s="71"/>
    </row>
    <row r="67" ht="15.75" customHeight="1">
      <c r="F67" s="71"/>
    </row>
    <row r="68" ht="15.75" customHeight="1">
      <c r="F68" s="71"/>
    </row>
    <row r="69" ht="15.75" customHeight="1">
      <c r="F69" s="71"/>
    </row>
    <row r="70" ht="15.75" customHeight="1">
      <c r="F70" s="71"/>
    </row>
    <row r="71" ht="15.75" customHeight="1">
      <c r="F71" s="71"/>
    </row>
    <row r="72" ht="15.75" customHeight="1">
      <c r="F72" s="71"/>
    </row>
    <row r="73" ht="15.75" customHeight="1">
      <c r="F73" s="71"/>
    </row>
    <row r="74" ht="15.75" customHeight="1">
      <c r="F74" s="71"/>
    </row>
    <row r="75" ht="15.75" customHeight="1">
      <c r="F75" s="71"/>
    </row>
    <row r="76" ht="15.75" customHeight="1">
      <c r="F76" s="71"/>
    </row>
    <row r="77" ht="15.75" customHeight="1">
      <c r="F77" s="71"/>
    </row>
    <row r="78" ht="15.75" customHeight="1">
      <c r="F78" s="71"/>
    </row>
    <row r="79" ht="15.75" customHeight="1">
      <c r="F79" s="71"/>
    </row>
    <row r="80" ht="15.75" customHeight="1">
      <c r="F80" s="71"/>
    </row>
    <row r="81" ht="15.75" customHeight="1">
      <c r="F81" s="71"/>
    </row>
    <row r="82" ht="15.75" customHeight="1">
      <c r="F82" s="71"/>
    </row>
    <row r="83" ht="15.75" customHeight="1">
      <c r="F83" s="71"/>
    </row>
    <row r="84" ht="15.75" customHeight="1">
      <c r="F84" s="71"/>
    </row>
    <row r="85" ht="15.75" customHeight="1">
      <c r="F85" s="71"/>
    </row>
    <row r="86" ht="15.75" customHeight="1">
      <c r="F86" s="71"/>
    </row>
    <row r="87" ht="15.75" customHeight="1">
      <c r="F87" s="71"/>
    </row>
    <row r="88" ht="15.75" customHeight="1">
      <c r="F88" s="71"/>
    </row>
    <row r="89" ht="15.75" customHeight="1">
      <c r="F89" s="71"/>
    </row>
    <row r="90" ht="15.75" customHeight="1">
      <c r="F90" s="71"/>
    </row>
    <row r="91" ht="15.75" customHeight="1">
      <c r="F91" s="71"/>
    </row>
    <row r="92" ht="15.75" customHeight="1">
      <c r="F92" s="71"/>
    </row>
    <row r="93" ht="15.75" customHeight="1">
      <c r="F93" s="71"/>
    </row>
    <row r="94" ht="15.75" customHeight="1">
      <c r="F94" s="71"/>
    </row>
    <row r="95" ht="15.75" customHeight="1">
      <c r="F95" s="71"/>
    </row>
    <row r="96" ht="15.75" customHeight="1">
      <c r="F96" s="71"/>
    </row>
    <row r="97" ht="15.75" customHeight="1">
      <c r="F97" s="71"/>
    </row>
    <row r="98" ht="15.75" customHeight="1">
      <c r="F98" s="71"/>
    </row>
    <row r="99" ht="15.75" customHeight="1">
      <c r="F99" s="71"/>
    </row>
    <row r="100" ht="15.75" customHeight="1">
      <c r="F100" s="71"/>
    </row>
    <row r="101" ht="15.75" customHeight="1">
      <c r="F101" s="71"/>
    </row>
    <row r="102" ht="15.75" customHeight="1">
      <c r="F102" s="71"/>
    </row>
    <row r="103" ht="15.75" customHeight="1">
      <c r="F103" s="71"/>
    </row>
    <row r="104" ht="15.75" customHeight="1">
      <c r="F104" s="71"/>
    </row>
    <row r="105" ht="15.75" customHeight="1">
      <c r="F105" s="71"/>
    </row>
    <row r="106" ht="15.75" customHeight="1">
      <c r="F106" s="71"/>
    </row>
    <row r="107" ht="15.75" customHeight="1">
      <c r="F107" s="71"/>
    </row>
    <row r="108" ht="15.75" customHeight="1">
      <c r="F108" s="71"/>
    </row>
    <row r="109" ht="15.75" customHeight="1">
      <c r="F109" s="71"/>
    </row>
    <row r="110" ht="15.75" customHeight="1">
      <c r="F110" s="71"/>
    </row>
    <row r="111" ht="15.75" customHeight="1">
      <c r="F111" s="71"/>
    </row>
    <row r="112" ht="15.75" customHeight="1">
      <c r="F112" s="71"/>
    </row>
    <row r="113" ht="15.75" customHeight="1">
      <c r="F113" s="71"/>
    </row>
    <row r="114" ht="15.75" customHeight="1">
      <c r="F114" s="71"/>
    </row>
    <row r="115" ht="15.75" customHeight="1">
      <c r="F115" s="71"/>
    </row>
    <row r="116" ht="15.75" customHeight="1">
      <c r="F116" s="71"/>
    </row>
    <row r="117" ht="15.75" customHeight="1">
      <c r="F117" s="71"/>
    </row>
    <row r="118" ht="15.75" customHeight="1">
      <c r="F118" s="71"/>
    </row>
    <row r="119" ht="15.75" customHeight="1">
      <c r="F119" s="71"/>
    </row>
    <row r="120" ht="15.75" customHeight="1">
      <c r="F120" s="71"/>
    </row>
    <row r="121" ht="15.75" customHeight="1">
      <c r="F121" s="71"/>
    </row>
    <row r="122" ht="15.75" customHeight="1">
      <c r="F122" s="71"/>
    </row>
    <row r="123" ht="15.75" customHeight="1">
      <c r="F123" s="71"/>
    </row>
    <row r="124" ht="15.75" customHeight="1">
      <c r="F124" s="71"/>
    </row>
    <row r="125" ht="15.75" customHeight="1">
      <c r="F125" s="71"/>
    </row>
    <row r="126" ht="15.75" customHeight="1">
      <c r="F126" s="71"/>
    </row>
    <row r="127" ht="15.75" customHeight="1">
      <c r="F127" s="71"/>
    </row>
    <row r="128" ht="15.75" customHeight="1">
      <c r="F128" s="71"/>
    </row>
    <row r="129" ht="15.75" customHeight="1">
      <c r="F129" s="71"/>
    </row>
    <row r="130" ht="15.75" customHeight="1">
      <c r="F130" s="71"/>
    </row>
    <row r="131" ht="15.75" customHeight="1">
      <c r="F131" s="71"/>
    </row>
    <row r="132" ht="15.75" customHeight="1">
      <c r="F132" s="71"/>
    </row>
    <row r="133" ht="15.75" customHeight="1">
      <c r="F133" s="71"/>
    </row>
    <row r="134" ht="15.75" customHeight="1">
      <c r="F134" s="71"/>
    </row>
    <row r="135" ht="15.75" customHeight="1">
      <c r="F135" s="71"/>
    </row>
    <row r="136" ht="15.75" customHeight="1">
      <c r="F136" s="71"/>
    </row>
    <row r="137" ht="15.75" customHeight="1">
      <c r="F137" s="71"/>
    </row>
    <row r="138" ht="15.75" customHeight="1">
      <c r="F138" s="71"/>
    </row>
    <row r="139" ht="15.75" customHeight="1">
      <c r="F139" s="71"/>
    </row>
    <row r="140" ht="15.75" customHeight="1">
      <c r="F140" s="71"/>
    </row>
    <row r="141" ht="15.75" customHeight="1">
      <c r="F141" s="71"/>
    </row>
    <row r="142" ht="15.75" customHeight="1">
      <c r="F142" s="71"/>
    </row>
    <row r="143" ht="15.75" customHeight="1">
      <c r="F143" s="71"/>
    </row>
    <row r="144" ht="15.75" customHeight="1">
      <c r="F144" s="71"/>
    </row>
    <row r="145" ht="15.75" customHeight="1">
      <c r="F145" s="71"/>
    </row>
    <row r="146" ht="15.75" customHeight="1">
      <c r="F146" s="71"/>
    </row>
    <row r="147" ht="15.75" customHeight="1">
      <c r="F147" s="71"/>
    </row>
    <row r="148" ht="15.75" customHeight="1">
      <c r="F148" s="71"/>
    </row>
    <row r="149" ht="15.75" customHeight="1">
      <c r="F149" s="71"/>
    </row>
    <row r="150" ht="15.75" customHeight="1">
      <c r="F150" s="71"/>
    </row>
    <row r="151" ht="15.75" customHeight="1">
      <c r="F151" s="71"/>
    </row>
    <row r="152" ht="15.75" customHeight="1">
      <c r="F152" s="71"/>
    </row>
    <row r="153" ht="15.75" customHeight="1">
      <c r="F153" s="71"/>
    </row>
    <row r="154" ht="15.75" customHeight="1">
      <c r="F154" s="71"/>
    </row>
    <row r="155" ht="15.75" customHeight="1">
      <c r="F155" s="71"/>
    </row>
    <row r="156" ht="15.75" customHeight="1">
      <c r="F156" s="71"/>
    </row>
    <row r="157" ht="15.75" customHeight="1">
      <c r="F157" s="71"/>
    </row>
    <row r="158" ht="15.75" customHeight="1">
      <c r="F158" s="71"/>
    </row>
    <row r="159" ht="15.75" customHeight="1">
      <c r="F159" s="71"/>
    </row>
    <row r="160" ht="15.75" customHeight="1">
      <c r="F160" s="71"/>
    </row>
    <row r="161" ht="15.75" customHeight="1">
      <c r="F161" s="71"/>
    </row>
    <row r="162" ht="15.75" customHeight="1">
      <c r="F162" s="71"/>
    </row>
    <row r="163" ht="15.75" customHeight="1">
      <c r="F163" s="71"/>
    </row>
    <row r="164" ht="15.75" customHeight="1">
      <c r="F164" s="71"/>
    </row>
    <row r="165" ht="15.75" customHeight="1">
      <c r="F165" s="71"/>
    </row>
    <row r="166" ht="15.75" customHeight="1">
      <c r="F166" s="71"/>
    </row>
    <row r="167" ht="15.75" customHeight="1">
      <c r="F167" s="71"/>
    </row>
    <row r="168" ht="15.75" customHeight="1">
      <c r="F168" s="71"/>
    </row>
    <row r="169" ht="15.75" customHeight="1">
      <c r="F169" s="71"/>
    </row>
    <row r="170" ht="15.75" customHeight="1">
      <c r="F170" s="71"/>
    </row>
    <row r="171" ht="15.75" customHeight="1">
      <c r="F171" s="71"/>
    </row>
    <row r="172" ht="15.75" customHeight="1">
      <c r="F172" s="71"/>
    </row>
    <row r="173" ht="15.75" customHeight="1">
      <c r="F173" s="71"/>
    </row>
    <row r="174" ht="15.75" customHeight="1">
      <c r="F174" s="71"/>
    </row>
    <row r="175" ht="15.75" customHeight="1">
      <c r="F175" s="71"/>
    </row>
    <row r="176" ht="15.75" customHeight="1">
      <c r="F176" s="71"/>
    </row>
    <row r="177" ht="15.75" customHeight="1">
      <c r="F177" s="71"/>
    </row>
    <row r="178" ht="15.75" customHeight="1">
      <c r="F178" s="71"/>
    </row>
    <row r="179" ht="15.75" customHeight="1">
      <c r="F179" s="71"/>
    </row>
    <row r="180" ht="15.75" customHeight="1">
      <c r="F180" s="71"/>
    </row>
    <row r="181" ht="15.75" customHeight="1">
      <c r="F181" s="71"/>
    </row>
    <row r="182" ht="15.75" customHeight="1">
      <c r="F182" s="71"/>
    </row>
    <row r="183" ht="15.75" customHeight="1">
      <c r="F183" s="71"/>
    </row>
    <row r="184" ht="15.75" customHeight="1">
      <c r="F184" s="71"/>
    </row>
    <row r="185" ht="15.75" customHeight="1">
      <c r="F185" s="71"/>
    </row>
    <row r="186" ht="15.75" customHeight="1">
      <c r="F186" s="71"/>
    </row>
    <row r="187" ht="15.75" customHeight="1">
      <c r="F187" s="71"/>
    </row>
    <row r="188" ht="15.75" customHeight="1">
      <c r="F188" s="71"/>
    </row>
    <row r="189" ht="15.75" customHeight="1">
      <c r="F189" s="71"/>
    </row>
    <row r="190" ht="15.75" customHeight="1">
      <c r="F190" s="71"/>
    </row>
    <row r="191" ht="15.75" customHeight="1">
      <c r="F191" s="71"/>
    </row>
    <row r="192" ht="15.75" customHeight="1">
      <c r="F192" s="71"/>
    </row>
    <row r="193" ht="15.75" customHeight="1">
      <c r="F193" s="71"/>
    </row>
    <row r="194" ht="15.75" customHeight="1">
      <c r="F194" s="71"/>
    </row>
    <row r="195" ht="15.75" customHeight="1">
      <c r="F195" s="71"/>
    </row>
    <row r="196" ht="15.75" customHeight="1">
      <c r="F196" s="71"/>
    </row>
    <row r="197" ht="15.75" customHeight="1">
      <c r="F197" s="71"/>
    </row>
    <row r="198" ht="15.75" customHeight="1">
      <c r="F198" s="71"/>
    </row>
    <row r="199" ht="15.75" customHeight="1">
      <c r="F199" s="71"/>
    </row>
    <row r="200" ht="15.75" customHeight="1">
      <c r="F200" s="71"/>
    </row>
    <row r="201" ht="15.75" customHeight="1">
      <c r="F201" s="71"/>
    </row>
    <row r="202" ht="15.75" customHeight="1">
      <c r="F202" s="71"/>
    </row>
    <row r="203" ht="15.75" customHeight="1">
      <c r="F203" s="71"/>
    </row>
    <row r="204" ht="15.75" customHeight="1">
      <c r="F204" s="71"/>
    </row>
    <row r="205" ht="15.75" customHeight="1">
      <c r="F205" s="71"/>
    </row>
    <row r="206" ht="15.75" customHeight="1">
      <c r="F206" s="71"/>
    </row>
    <row r="207" ht="15.75" customHeight="1">
      <c r="F207" s="71"/>
    </row>
    <row r="208" ht="15.75" customHeight="1">
      <c r="F208" s="71"/>
    </row>
    <row r="209" ht="15.75" customHeight="1">
      <c r="F209" s="71"/>
    </row>
    <row r="210" ht="15.75" customHeight="1">
      <c r="F210" s="71"/>
    </row>
    <row r="211" ht="15.75" customHeight="1">
      <c r="F211" s="71"/>
    </row>
    <row r="212" ht="15.75" customHeight="1">
      <c r="F212" s="71"/>
    </row>
    <row r="213" ht="15.75" customHeight="1">
      <c r="F213" s="71"/>
    </row>
    <row r="214" ht="15.75" customHeight="1">
      <c r="F214" s="71"/>
    </row>
    <row r="215" ht="15.75" customHeight="1">
      <c r="F215" s="71"/>
    </row>
    <row r="216" ht="15.75" customHeight="1">
      <c r="F216" s="71"/>
    </row>
    <row r="217" ht="15.75" customHeight="1">
      <c r="F217" s="71"/>
    </row>
    <row r="218" ht="15.75" customHeight="1">
      <c r="F218" s="71"/>
    </row>
    <row r="219" ht="15.75" customHeight="1">
      <c r="F219" s="71"/>
    </row>
    <row r="220" ht="15.75" customHeight="1">
      <c r="F220" s="71"/>
    </row>
    <row r="221" ht="15.75" customHeight="1">
      <c r="F221" s="71"/>
    </row>
    <row r="222" ht="15.75" customHeight="1">
      <c r="F222" s="71"/>
    </row>
    <row r="223" ht="15.75" customHeight="1">
      <c r="F223" s="71"/>
    </row>
    <row r="224" ht="15.75" customHeight="1">
      <c r="F224" s="71"/>
    </row>
    <row r="225" ht="15.75" customHeight="1">
      <c r="F225" s="71"/>
    </row>
    <row r="226" ht="15.75" customHeight="1">
      <c r="F226" s="71"/>
    </row>
    <row r="227" ht="15.75" customHeight="1">
      <c r="F227" s="71"/>
    </row>
    <row r="228" ht="15.75" customHeight="1">
      <c r="F228" s="71"/>
    </row>
    <row r="229" ht="15.75" customHeight="1">
      <c r="F229" s="71"/>
    </row>
    <row r="230" ht="15.75" customHeight="1">
      <c r="F230" s="71"/>
    </row>
    <row r="231" ht="15.75" customHeight="1">
      <c r="F231" s="71"/>
    </row>
    <row r="232" ht="15.75" customHeight="1">
      <c r="F232" s="71"/>
    </row>
    <row r="233" ht="15.75" customHeight="1">
      <c r="F233" s="71"/>
    </row>
    <row r="234" ht="15.75" customHeight="1">
      <c r="F234" s="71"/>
    </row>
    <row r="235" ht="15.75" customHeight="1">
      <c r="F235" s="71"/>
    </row>
    <row r="236" ht="15.75" customHeight="1">
      <c r="F236" s="71"/>
    </row>
    <row r="237" ht="15.75" customHeight="1">
      <c r="F237" s="71"/>
    </row>
    <row r="238" ht="15.75" customHeight="1">
      <c r="F238" s="71"/>
    </row>
    <row r="239" ht="15.75" customHeight="1">
      <c r="F239" s="71"/>
    </row>
    <row r="240" ht="15.75" customHeight="1">
      <c r="F240" s="71"/>
    </row>
    <row r="241" ht="15.75" customHeight="1">
      <c r="F241" s="71"/>
    </row>
    <row r="242" ht="15.75" customHeight="1">
      <c r="F242" s="71"/>
    </row>
    <row r="243" ht="15.75" customHeight="1">
      <c r="F243" s="71"/>
    </row>
    <row r="244" ht="15.75" customHeight="1">
      <c r="F244" s="7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27.5"/>
    <col customWidth="1" min="3" max="3" width="18.38"/>
    <col customWidth="1" min="4" max="11" width="15.13"/>
  </cols>
  <sheetData>
    <row r="1" ht="15.75" customHeight="1">
      <c r="A1" s="260" t="s">
        <v>267</v>
      </c>
      <c r="B1" s="260" t="s">
        <v>1</v>
      </c>
      <c r="C1" s="260" t="s">
        <v>61</v>
      </c>
      <c r="D1" s="260" t="s">
        <v>248</v>
      </c>
      <c r="E1" s="260" t="s">
        <v>63</v>
      </c>
      <c r="F1" s="260" t="s">
        <v>249</v>
      </c>
      <c r="G1" s="260" t="s">
        <v>250</v>
      </c>
      <c r="H1" s="199" t="s">
        <v>251</v>
      </c>
      <c r="I1" s="264"/>
      <c r="J1" s="264"/>
      <c r="K1" s="264"/>
    </row>
    <row r="2" ht="14.25" customHeight="1">
      <c r="A2" s="18" t="s">
        <v>635</v>
      </c>
      <c r="B2" s="18" t="s">
        <v>636</v>
      </c>
      <c r="C2" s="18" t="s">
        <v>337</v>
      </c>
      <c r="D2" s="18" t="s">
        <v>253</v>
      </c>
      <c r="E2" s="18">
        <v>380.0</v>
      </c>
      <c r="F2" s="265">
        <v>55.01</v>
      </c>
      <c r="G2" s="266">
        <v>44236.0</v>
      </c>
      <c r="H2" s="22">
        <f>F2/59.48-1</f>
        <v>-0.07515131137</v>
      </c>
    </row>
    <row r="3" ht="15.75" customHeight="1">
      <c r="A3" s="18" t="s">
        <v>86</v>
      </c>
      <c r="B3" s="18" t="s">
        <v>221</v>
      </c>
      <c r="C3" s="18" t="s">
        <v>87</v>
      </c>
      <c r="D3" s="18" t="s">
        <v>261</v>
      </c>
      <c r="E3" s="18">
        <v>392.0</v>
      </c>
      <c r="F3" s="265">
        <v>136.75</v>
      </c>
      <c r="G3" s="266">
        <v>44236.0</v>
      </c>
      <c r="H3" s="22">
        <f>F3/117.96-1</f>
        <v>0.1592912852</v>
      </c>
    </row>
    <row r="4" ht="15.75" customHeight="1">
      <c r="A4" s="18" t="s">
        <v>73</v>
      </c>
      <c r="B4" s="18" t="s">
        <v>637</v>
      </c>
      <c r="C4" s="18" t="s">
        <v>74</v>
      </c>
      <c r="D4" s="18" t="s">
        <v>261</v>
      </c>
      <c r="E4" s="18">
        <v>270.0</v>
      </c>
      <c r="F4" s="265">
        <v>65.99</v>
      </c>
      <c r="G4" s="266">
        <v>44236.0</v>
      </c>
      <c r="H4" s="22">
        <f>F4/62.89-1</f>
        <v>0.04929241533</v>
      </c>
    </row>
    <row r="5" ht="15.75" customHeight="1">
      <c r="A5" s="18" t="s">
        <v>71</v>
      </c>
      <c r="B5" s="18" t="s">
        <v>161</v>
      </c>
      <c r="C5" s="18" t="s">
        <v>72</v>
      </c>
      <c r="D5" s="18" t="s">
        <v>261</v>
      </c>
      <c r="E5" s="18">
        <v>103.0</v>
      </c>
      <c r="F5" s="265">
        <v>172.44</v>
      </c>
      <c r="G5" s="266">
        <v>44236.0</v>
      </c>
      <c r="H5" s="22">
        <f>F5/154.96-1</f>
        <v>0.1128033041</v>
      </c>
    </row>
    <row r="6" ht="15.75" customHeight="1">
      <c r="A6" s="18" t="s">
        <v>80</v>
      </c>
      <c r="B6" s="18" t="s">
        <v>200</v>
      </c>
      <c r="C6" s="18" t="s">
        <v>81</v>
      </c>
      <c r="D6" s="18" t="s">
        <v>260</v>
      </c>
      <c r="E6" s="18">
        <v>182.0</v>
      </c>
      <c r="F6" s="265">
        <v>115.85</v>
      </c>
      <c r="G6" s="266">
        <v>44236.0</v>
      </c>
      <c r="H6" s="18" t="s">
        <v>36</v>
      </c>
    </row>
    <row r="7" ht="15.75" customHeight="1">
      <c r="A7" s="18" t="s">
        <v>29</v>
      </c>
      <c r="B7" s="18" t="s">
        <v>59</v>
      </c>
      <c r="C7" s="18" t="s">
        <v>17</v>
      </c>
      <c r="D7" s="18" t="s">
        <v>260</v>
      </c>
      <c r="E7" s="18">
        <v>213.0</v>
      </c>
      <c r="F7" s="265">
        <v>116.95</v>
      </c>
      <c r="G7" s="266">
        <v>44236.0</v>
      </c>
      <c r="H7" s="18" t="s">
        <v>36</v>
      </c>
    </row>
    <row r="8" ht="15.75" customHeight="1">
      <c r="A8" s="23" t="s">
        <v>92</v>
      </c>
      <c r="B8" s="23" t="s">
        <v>156</v>
      </c>
      <c r="C8" s="18" t="s">
        <v>72</v>
      </c>
      <c r="D8" s="18" t="s">
        <v>261</v>
      </c>
      <c r="E8" s="18">
        <v>4.0</v>
      </c>
      <c r="F8" s="265">
        <v>3250.03</v>
      </c>
      <c r="G8" s="266">
        <v>44239.0</v>
      </c>
      <c r="H8" s="22">
        <f>F8/1158-1</f>
        <v>1.806588946</v>
      </c>
    </row>
    <row r="9" ht="15.75" customHeight="1">
      <c r="A9" s="23" t="s">
        <v>101</v>
      </c>
      <c r="B9" s="23" t="s">
        <v>394</v>
      </c>
      <c r="C9" s="18" t="s">
        <v>79</v>
      </c>
      <c r="D9" s="18" t="s">
        <v>261</v>
      </c>
      <c r="E9" s="18">
        <v>265.0</v>
      </c>
      <c r="F9" s="265">
        <v>110.36</v>
      </c>
      <c r="G9" s="266">
        <v>44239.0</v>
      </c>
      <c r="H9" s="22">
        <f>F9/38.81-1</f>
        <v>1.843597011</v>
      </c>
    </row>
    <row r="10" ht="15.75" customHeight="1">
      <c r="A10" s="23" t="s">
        <v>123</v>
      </c>
      <c r="B10" s="23" t="s">
        <v>311</v>
      </c>
      <c r="C10" s="18" t="s">
        <v>87</v>
      </c>
      <c r="D10" s="18" t="s">
        <v>261</v>
      </c>
      <c r="E10" s="18">
        <v>36.0</v>
      </c>
      <c r="F10" s="265">
        <v>243.8</v>
      </c>
      <c r="G10" s="266">
        <v>44239.0</v>
      </c>
      <c r="H10" s="22">
        <f>F10/120.12-1</f>
        <v>1.02963703</v>
      </c>
    </row>
    <row r="11" ht="15.75" customHeight="1">
      <c r="A11" s="18" t="s">
        <v>71</v>
      </c>
      <c r="B11" s="18" t="s">
        <v>161</v>
      </c>
      <c r="C11" s="18" t="s">
        <v>72</v>
      </c>
      <c r="D11" s="18" t="s">
        <v>260</v>
      </c>
      <c r="E11" s="18">
        <v>102.0</v>
      </c>
      <c r="F11" s="265">
        <v>169.47</v>
      </c>
      <c r="G11" s="266">
        <v>44239.0</v>
      </c>
      <c r="H11" s="18" t="s">
        <v>36</v>
      </c>
    </row>
    <row r="12" ht="15.75" customHeight="1">
      <c r="A12" s="18" t="s">
        <v>78</v>
      </c>
      <c r="B12" s="18" t="s">
        <v>191</v>
      </c>
      <c r="C12" s="18" t="s">
        <v>79</v>
      </c>
      <c r="D12" s="18" t="s">
        <v>264</v>
      </c>
      <c r="E12" s="18">
        <v>588.0</v>
      </c>
      <c r="F12" s="265">
        <v>31.38</v>
      </c>
      <c r="G12" s="266">
        <v>44239.0</v>
      </c>
      <c r="H12" s="18" t="s">
        <v>36</v>
      </c>
    </row>
    <row r="13" ht="15.75" customHeight="1">
      <c r="A13" s="267" t="s">
        <v>73</v>
      </c>
      <c r="B13" s="18" t="s">
        <v>637</v>
      </c>
      <c r="C13" s="18" t="s">
        <v>74</v>
      </c>
      <c r="D13" s="18" t="s">
        <v>253</v>
      </c>
      <c r="E13" s="18">
        <v>254.0</v>
      </c>
      <c r="F13" s="265">
        <v>64.83</v>
      </c>
      <c r="G13" s="266">
        <v>44249.0</v>
      </c>
      <c r="H13" s="22">
        <f>F13/62.89-1</f>
        <v>0.03084751153</v>
      </c>
    </row>
    <row r="14" ht="15.75" customHeight="1">
      <c r="A14" s="18" t="s">
        <v>553</v>
      </c>
      <c r="B14" s="23" t="s">
        <v>638</v>
      </c>
      <c r="C14" s="18" t="s">
        <v>74</v>
      </c>
      <c r="D14" s="18" t="s">
        <v>264</v>
      </c>
      <c r="E14" s="18">
        <v>645.0</v>
      </c>
      <c r="F14" s="265">
        <v>25.53</v>
      </c>
      <c r="G14" s="266">
        <v>44249.0</v>
      </c>
      <c r="H14" s="18" t="s">
        <v>36</v>
      </c>
    </row>
    <row r="15" ht="15.75" customHeight="1">
      <c r="A15" s="18" t="s">
        <v>639</v>
      </c>
      <c r="B15" s="23" t="s">
        <v>640</v>
      </c>
      <c r="C15" s="18" t="s">
        <v>77</v>
      </c>
      <c r="D15" s="18" t="s">
        <v>253</v>
      </c>
      <c r="E15" s="18">
        <v>338.0</v>
      </c>
      <c r="F15" s="265">
        <v>42.02</v>
      </c>
      <c r="G15" s="266">
        <v>44253.0</v>
      </c>
      <c r="H15" s="22">
        <f>F15/69.19-1</f>
        <v>-0.3926868045</v>
      </c>
    </row>
    <row r="16" ht="15.75" customHeight="1">
      <c r="A16" s="18" t="s">
        <v>555</v>
      </c>
      <c r="B16" s="23" t="s">
        <v>641</v>
      </c>
      <c r="C16" s="18" t="s">
        <v>83</v>
      </c>
      <c r="D16" s="18" t="s">
        <v>264</v>
      </c>
      <c r="E16" s="18">
        <v>304.0</v>
      </c>
      <c r="F16" s="18">
        <v>86.52</v>
      </c>
      <c r="G16" s="266">
        <v>44253.0</v>
      </c>
      <c r="H16" s="18" t="s">
        <v>36</v>
      </c>
    </row>
    <row r="17" ht="15.75" customHeight="1">
      <c r="A17" s="18" t="s">
        <v>573</v>
      </c>
      <c r="B17" s="23" t="s">
        <v>574</v>
      </c>
      <c r="C17" s="18" t="s">
        <v>85</v>
      </c>
      <c r="D17" s="18" t="s">
        <v>264</v>
      </c>
      <c r="E17" s="18">
        <v>591.0</v>
      </c>
      <c r="F17" s="18">
        <v>22.29</v>
      </c>
      <c r="G17" s="266">
        <v>44253.0</v>
      </c>
      <c r="H17" s="18" t="s">
        <v>36</v>
      </c>
    </row>
    <row r="18" ht="15.75" customHeight="1">
      <c r="A18" s="18" t="s">
        <v>82</v>
      </c>
      <c r="B18" s="23" t="s">
        <v>209</v>
      </c>
      <c r="C18" s="18" t="s">
        <v>83</v>
      </c>
      <c r="D18" s="18" t="s">
        <v>261</v>
      </c>
      <c r="E18" s="18">
        <v>334.0</v>
      </c>
      <c r="F18" s="18">
        <v>91.5</v>
      </c>
      <c r="G18" s="266">
        <v>44253.0</v>
      </c>
      <c r="H18" s="22">
        <f>F18/76.91-1</f>
        <v>0.1897022494</v>
      </c>
    </row>
    <row r="19" ht="15.75" customHeight="1">
      <c r="A19" s="18" t="s">
        <v>76</v>
      </c>
      <c r="B19" s="18" t="s">
        <v>176</v>
      </c>
      <c r="C19" s="18" t="s">
        <v>77</v>
      </c>
      <c r="D19" s="18" t="s">
        <v>264</v>
      </c>
      <c r="E19" s="18">
        <v>557.0</v>
      </c>
      <c r="F19" s="18">
        <v>48.44</v>
      </c>
      <c r="G19" s="266">
        <v>44253.0</v>
      </c>
      <c r="H19" s="23" t="s">
        <v>36</v>
      </c>
    </row>
    <row r="20" ht="15.75" customHeight="1">
      <c r="A20" s="18" t="s">
        <v>464</v>
      </c>
      <c r="B20" s="18" t="s">
        <v>465</v>
      </c>
      <c r="C20" s="18" t="s">
        <v>81</v>
      </c>
      <c r="D20" s="18" t="s">
        <v>264</v>
      </c>
      <c r="E20" s="18">
        <v>1000.0</v>
      </c>
      <c r="F20" s="18">
        <v>9.12</v>
      </c>
      <c r="G20" s="266">
        <v>44278.0</v>
      </c>
      <c r="H20" s="23" t="s">
        <v>36</v>
      </c>
    </row>
    <row r="21" ht="15.75" customHeight="1">
      <c r="A21" s="18" t="s">
        <v>464</v>
      </c>
      <c r="B21" s="18" t="s">
        <v>465</v>
      </c>
      <c r="C21" s="18" t="s">
        <v>81</v>
      </c>
      <c r="D21" s="18" t="s">
        <v>264</v>
      </c>
      <c r="E21" s="18">
        <v>1945.0</v>
      </c>
      <c r="F21" s="18">
        <v>9.16</v>
      </c>
      <c r="G21" s="266">
        <v>44278.0</v>
      </c>
      <c r="H21" s="23" t="s">
        <v>36</v>
      </c>
    </row>
    <row r="22" ht="15.75" customHeight="1">
      <c r="A22" s="18" t="s">
        <v>80</v>
      </c>
      <c r="B22" s="18" t="s">
        <v>200</v>
      </c>
      <c r="C22" s="18" t="s">
        <v>81</v>
      </c>
      <c r="D22" s="18" t="s">
        <v>261</v>
      </c>
      <c r="E22" s="18">
        <v>229.0</v>
      </c>
      <c r="F22" s="18">
        <v>115.37</v>
      </c>
      <c r="G22" s="266">
        <v>44278.0</v>
      </c>
      <c r="H22" s="22">
        <f>115.37/106.91-1</f>
        <v>0.07913198017</v>
      </c>
    </row>
    <row r="23" ht="15.75" customHeight="1">
      <c r="A23" s="18" t="s">
        <v>642</v>
      </c>
      <c r="B23" s="18" t="s">
        <v>643</v>
      </c>
      <c r="C23" s="18" t="s">
        <v>91</v>
      </c>
      <c r="D23" s="18" t="s">
        <v>253</v>
      </c>
      <c r="E23" s="18">
        <v>1416.0</v>
      </c>
      <c r="F23" s="18">
        <v>26.11</v>
      </c>
      <c r="G23" s="266">
        <v>44285.0</v>
      </c>
      <c r="H23" s="22">
        <f>26.11/17.74-1</f>
        <v>0.4718151071</v>
      </c>
    </row>
    <row r="24" ht="15.75" customHeight="1">
      <c r="A24" s="18" t="s">
        <v>90</v>
      </c>
      <c r="B24" s="18" t="s">
        <v>230</v>
      </c>
      <c r="C24" s="18" t="s">
        <v>91</v>
      </c>
      <c r="D24" s="18" t="s">
        <v>264</v>
      </c>
      <c r="E24" s="18">
        <v>442.0</v>
      </c>
      <c r="F24" s="18">
        <v>63.59</v>
      </c>
      <c r="G24" s="266">
        <v>44285.0</v>
      </c>
      <c r="H24" s="18" t="s">
        <v>36</v>
      </c>
    </row>
    <row r="25" ht="15.75" customHeight="1">
      <c r="A25" s="18" t="s">
        <v>78</v>
      </c>
      <c r="B25" s="18" t="s">
        <v>191</v>
      </c>
      <c r="C25" s="18" t="s">
        <v>79</v>
      </c>
      <c r="D25" s="18" t="s">
        <v>253</v>
      </c>
      <c r="E25" s="18">
        <v>588.0</v>
      </c>
      <c r="F25" s="18">
        <v>34.79</v>
      </c>
      <c r="G25" s="266">
        <v>44292.0</v>
      </c>
      <c r="H25" s="22">
        <f>F25/31.38-1</f>
        <v>0.1086679414</v>
      </c>
    </row>
    <row r="26" ht="15.75" customHeight="1">
      <c r="A26" s="84" t="s">
        <v>104</v>
      </c>
      <c r="B26" s="23" t="s">
        <v>336</v>
      </c>
      <c r="C26" s="18" t="s">
        <v>79</v>
      </c>
      <c r="D26" s="18" t="s">
        <v>264</v>
      </c>
      <c r="E26" s="18">
        <v>369.0</v>
      </c>
      <c r="F26" s="18">
        <v>74.69</v>
      </c>
      <c r="G26" s="266">
        <v>44292.0</v>
      </c>
      <c r="H26" s="23" t="s">
        <v>36</v>
      </c>
    </row>
    <row r="27" ht="15.75" customHeight="1">
      <c r="A27" s="18" t="s">
        <v>644</v>
      </c>
      <c r="B27" s="23" t="s">
        <v>645</v>
      </c>
      <c r="C27" s="18" t="s">
        <v>337</v>
      </c>
      <c r="D27" s="18" t="s">
        <v>253</v>
      </c>
      <c r="E27" s="18">
        <v>95.0</v>
      </c>
      <c r="F27" s="18">
        <v>258.52</v>
      </c>
      <c r="G27" s="266">
        <v>44299.0</v>
      </c>
      <c r="H27" s="19">
        <f>F27/75.11-1</f>
        <v>2.441885235</v>
      </c>
    </row>
    <row r="28" ht="15.75" customHeight="1">
      <c r="A28" s="18" t="s">
        <v>88</v>
      </c>
      <c r="B28" s="18" t="s">
        <v>225</v>
      </c>
      <c r="C28" s="18" t="s">
        <v>337</v>
      </c>
      <c r="D28" s="18" t="s">
        <v>264</v>
      </c>
      <c r="E28" s="18">
        <v>451.0</v>
      </c>
      <c r="F28" s="18">
        <v>76.75</v>
      </c>
      <c r="G28" s="266">
        <v>44299.0</v>
      </c>
      <c r="H28" s="23" t="s">
        <v>36</v>
      </c>
    </row>
    <row r="29" ht="15.75" customHeight="1">
      <c r="A29" s="23" t="s">
        <v>646</v>
      </c>
      <c r="B29" s="23" t="s">
        <v>647</v>
      </c>
      <c r="C29" s="23" t="s">
        <v>72</v>
      </c>
      <c r="D29" s="23" t="s">
        <v>253</v>
      </c>
      <c r="E29" s="23">
        <v>258.0</v>
      </c>
      <c r="F29" s="23">
        <v>215.09</v>
      </c>
      <c r="G29" s="262">
        <v>44305.0</v>
      </c>
      <c r="H29" s="19">
        <f>F29/122.97-1</f>
        <v>0.749125803</v>
      </c>
      <c r="I29" s="23"/>
    </row>
    <row r="30" ht="15.75" customHeight="1">
      <c r="A30" s="23" t="s">
        <v>71</v>
      </c>
      <c r="B30" s="23" t="s">
        <v>161</v>
      </c>
      <c r="C30" s="23" t="s">
        <v>648</v>
      </c>
      <c r="D30" s="23" t="s">
        <v>260</v>
      </c>
      <c r="E30" s="23">
        <v>308.0</v>
      </c>
      <c r="F30" s="23">
        <v>178.205</v>
      </c>
      <c r="G30" s="262">
        <v>44305.0</v>
      </c>
      <c r="H30" s="23" t="s">
        <v>36</v>
      </c>
    </row>
    <row r="31" ht="15.75" customHeight="1">
      <c r="A31" s="23" t="s">
        <v>121</v>
      </c>
      <c r="B31" s="23" t="s">
        <v>649</v>
      </c>
      <c r="C31" s="23" t="s">
        <v>85</v>
      </c>
      <c r="D31" s="23" t="s">
        <v>253</v>
      </c>
      <c r="E31" s="23">
        <v>48.0</v>
      </c>
      <c r="F31" s="23">
        <v>252.93</v>
      </c>
      <c r="G31" s="262">
        <v>44313.0</v>
      </c>
      <c r="H31" s="19">
        <f>F31/72.62-1</f>
        <v>2.482924814</v>
      </c>
    </row>
    <row r="32" ht="15.75" customHeight="1">
      <c r="A32" s="23" t="s">
        <v>602</v>
      </c>
      <c r="B32" s="18" t="s">
        <v>603</v>
      </c>
      <c r="C32" s="23" t="s">
        <v>85</v>
      </c>
      <c r="D32" s="23" t="s">
        <v>264</v>
      </c>
      <c r="E32" s="23">
        <v>215.0</v>
      </c>
      <c r="F32" s="23">
        <v>65.18</v>
      </c>
      <c r="G32" s="262">
        <v>44313.0</v>
      </c>
      <c r="H32" s="23" t="s">
        <v>36</v>
      </c>
    </row>
    <row r="33" ht="15.75" customHeight="1">
      <c r="A33" s="23" t="s">
        <v>76</v>
      </c>
      <c r="B33" s="23" t="s">
        <v>176</v>
      </c>
      <c r="C33" s="23" t="s">
        <v>77</v>
      </c>
      <c r="D33" s="23" t="s">
        <v>253</v>
      </c>
      <c r="E33" s="23">
        <v>557.0</v>
      </c>
      <c r="F33" s="23">
        <v>48.18</v>
      </c>
      <c r="G33" s="262">
        <v>44313.0</v>
      </c>
      <c r="H33" s="19">
        <f>F33/48.44-1</f>
        <v>-0.005367464905</v>
      </c>
    </row>
    <row r="34" ht="15.75" customHeight="1">
      <c r="A34" s="23" t="s">
        <v>568</v>
      </c>
      <c r="B34" s="23" t="s">
        <v>569</v>
      </c>
      <c r="C34" s="23" t="s">
        <v>77</v>
      </c>
      <c r="D34" s="23" t="s">
        <v>264</v>
      </c>
      <c r="E34" s="23">
        <v>544.0</v>
      </c>
      <c r="F34" s="23">
        <v>58.84</v>
      </c>
      <c r="G34" s="262">
        <v>44313.0</v>
      </c>
      <c r="H34" s="23" t="s">
        <v>36</v>
      </c>
    </row>
    <row r="35" ht="15.75" customHeight="1">
      <c r="A35" s="23" t="s">
        <v>80</v>
      </c>
      <c r="B35" s="23" t="s">
        <v>200</v>
      </c>
      <c r="C35" s="23" t="s">
        <v>81</v>
      </c>
      <c r="D35" s="23" t="s">
        <v>261</v>
      </c>
      <c r="E35" s="23">
        <v>229.0</v>
      </c>
      <c r="F35" s="23">
        <v>122.78</v>
      </c>
      <c r="G35" s="262">
        <v>44313.0</v>
      </c>
      <c r="H35" s="19">
        <f t="shared" ref="H35:H36" si="1">F35/106.91-1</f>
        <v>0.1484426153</v>
      </c>
    </row>
    <row r="36" ht="15.75" customHeight="1">
      <c r="A36" s="23" t="s">
        <v>80</v>
      </c>
      <c r="B36" s="23" t="s">
        <v>200</v>
      </c>
      <c r="C36" s="23" t="s">
        <v>81</v>
      </c>
      <c r="D36" s="23" t="s">
        <v>261</v>
      </c>
      <c r="E36" s="23">
        <v>53.0</v>
      </c>
      <c r="F36" s="23">
        <v>122.78</v>
      </c>
      <c r="G36" s="262">
        <v>44313.0</v>
      </c>
      <c r="H36" s="19">
        <f t="shared" si="1"/>
        <v>0.1484426153</v>
      </c>
    </row>
    <row r="37" ht="15.75" customHeight="1">
      <c r="A37" s="23" t="s">
        <v>110</v>
      </c>
      <c r="B37" s="23" t="s">
        <v>193</v>
      </c>
      <c r="C37" s="23" t="s">
        <v>81</v>
      </c>
      <c r="D37" s="23" t="s">
        <v>264</v>
      </c>
      <c r="E37" s="23">
        <v>71.0</v>
      </c>
      <c r="F37" s="23">
        <v>395.92</v>
      </c>
      <c r="G37" s="262">
        <v>44313.0</v>
      </c>
      <c r="H37" s="23" t="s">
        <v>36</v>
      </c>
    </row>
    <row r="38" ht="15.75" customHeight="1">
      <c r="A38" s="23" t="s">
        <v>29</v>
      </c>
      <c r="B38" s="18" t="s">
        <v>59</v>
      </c>
      <c r="C38" s="23" t="s">
        <v>17</v>
      </c>
      <c r="D38" s="23" t="s">
        <v>261</v>
      </c>
      <c r="E38" s="23">
        <v>157.0</v>
      </c>
      <c r="F38" s="23">
        <v>114.45</v>
      </c>
      <c r="G38" s="262">
        <v>44313.0</v>
      </c>
      <c r="H38" s="19">
        <f>F38/117.5-1</f>
        <v>-0.02595744681</v>
      </c>
    </row>
    <row r="39" ht="15.75" customHeight="1">
      <c r="A39" s="23" t="s">
        <v>512</v>
      </c>
      <c r="B39" s="23" t="s">
        <v>650</v>
      </c>
      <c r="C39" s="23" t="s">
        <v>17</v>
      </c>
      <c r="D39" s="23" t="s">
        <v>264</v>
      </c>
      <c r="E39" s="23">
        <v>1433.0</v>
      </c>
      <c r="F39" s="23">
        <v>25.16</v>
      </c>
      <c r="G39" s="263">
        <v>44313.0</v>
      </c>
      <c r="H39" s="23" t="s">
        <v>36</v>
      </c>
    </row>
    <row r="40" ht="15.75" customHeight="1">
      <c r="A40" s="23"/>
      <c r="B40" s="23"/>
      <c r="C40" s="23"/>
      <c r="D40" s="23"/>
      <c r="E40" s="23"/>
      <c r="F40" s="133"/>
      <c r="G40" s="262"/>
      <c r="H40" s="19"/>
    </row>
    <row r="41" ht="15.75" customHeight="1">
      <c r="A41" s="23"/>
      <c r="B41" s="23"/>
      <c r="C41" s="23"/>
      <c r="D41" s="23"/>
      <c r="E41" s="23"/>
      <c r="F41" s="23"/>
      <c r="G41" s="262"/>
      <c r="H41" s="19"/>
    </row>
    <row r="42" ht="15.75" customHeight="1">
      <c r="A42" s="23"/>
      <c r="B42" s="18"/>
      <c r="C42" s="23"/>
      <c r="D42" s="23"/>
      <c r="E42" s="23"/>
      <c r="F42" s="23"/>
      <c r="G42" s="262"/>
      <c r="H42" s="19"/>
    </row>
    <row r="43" ht="15.75" customHeight="1">
      <c r="A43" s="23"/>
      <c r="B43" s="23"/>
      <c r="C43" s="23"/>
      <c r="D43" s="23"/>
      <c r="E43" s="23"/>
      <c r="F43" s="23"/>
      <c r="G43" s="262"/>
      <c r="H43" s="19"/>
    </row>
    <row r="44" ht="15.75" customHeight="1">
      <c r="A44" s="23"/>
      <c r="B44" s="23"/>
      <c r="C44" s="23"/>
      <c r="D44" s="23"/>
      <c r="E44" s="23"/>
      <c r="F44" s="23"/>
      <c r="G44" s="262"/>
      <c r="H44" s="19"/>
    </row>
    <row r="45" ht="15.75" customHeight="1">
      <c r="A45" s="23"/>
      <c r="B45" s="23"/>
      <c r="C45" s="23"/>
      <c r="D45" s="23"/>
      <c r="E45" s="23"/>
      <c r="F45" s="23"/>
      <c r="G45" s="262"/>
      <c r="H45" s="19"/>
    </row>
    <row r="46" ht="15.75" customHeight="1">
      <c r="A46" s="23"/>
      <c r="B46" s="18"/>
      <c r="C46" s="23"/>
      <c r="D46" s="23"/>
      <c r="E46" s="23"/>
      <c r="F46" s="23"/>
      <c r="G46" s="262"/>
      <c r="H46" s="19"/>
    </row>
    <row r="47" ht="15.75" customHeight="1">
      <c r="A47" s="23"/>
      <c r="B47" s="23"/>
      <c r="C47" s="23"/>
      <c r="D47" s="23"/>
      <c r="E47" s="23"/>
      <c r="F47" s="23"/>
      <c r="G47" s="262"/>
      <c r="H47" s="19"/>
    </row>
    <row r="48" ht="15.75" customHeight="1">
      <c r="H48" s="19"/>
    </row>
    <row r="49" ht="15.75" customHeight="1">
      <c r="H49" s="19"/>
    </row>
    <row r="50" ht="15.75" customHeight="1">
      <c r="H50" s="19"/>
    </row>
    <row r="51" ht="15.75" customHeight="1">
      <c r="H51" s="19"/>
    </row>
    <row r="52" ht="15.75" customHeight="1">
      <c r="H52" s="19"/>
    </row>
    <row r="53" ht="15.75" customHeight="1">
      <c r="H53" s="19"/>
    </row>
    <row r="54" ht="15.75" customHeight="1">
      <c r="H54" s="19"/>
    </row>
    <row r="55" ht="15.75" customHeight="1">
      <c r="H55" s="19"/>
    </row>
    <row r="56" ht="15.75" customHeight="1">
      <c r="H56" s="19"/>
    </row>
    <row r="57" ht="15.75" customHeight="1">
      <c r="H57" s="19"/>
    </row>
    <row r="58" ht="15.75" customHeight="1">
      <c r="H58" s="19"/>
    </row>
    <row r="59" ht="15.75" customHeight="1">
      <c r="H59" s="19"/>
    </row>
    <row r="60" ht="15.75" customHeight="1">
      <c r="H60" s="19"/>
    </row>
    <row r="61" ht="15.75" customHeight="1">
      <c r="H61" s="19"/>
    </row>
    <row r="62" ht="15.75" customHeight="1">
      <c r="H62" s="19"/>
    </row>
    <row r="63" ht="15.75" customHeight="1">
      <c r="H63" s="19"/>
    </row>
    <row r="64" ht="15.75" customHeight="1">
      <c r="H64" s="19"/>
    </row>
    <row r="65" ht="15.75" customHeight="1">
      <c r="H65" s="19"/>
    </row>
    <row r="66" ht="15.75" customHeight="1">
      <c r="H66" s="19"/>
    </row>
    <row r="67" ht="15.75" customHeight="1">
      <c r="H67" s="19"/>
    </row>
    <row r="68" ht="15.75" customHeight="1">
      <c r="H68" s="19"/>
    </row>
    <row r="69" ht="15.75" customHeight="1">
      <c r="H69" s="19"/>
    </row>
    <row r="70" ht="15.75" customHeight="1">
      <c r="H70" s="19"/>
    </row>
    <row r="71" ht="15.75" customHeight="1">
      <c r="H71" s="19"/>
    </row>
    <row r="72" ht="15.75" customHeight="1">
      <c r="H72" s="19"/>
    </row>
    <row r="73" ht="15.75" customHeight="1">
      <c r="H73" s="19"/>
    </row>
    <row r="74" ht="15.75" customHeight="1">
      <c r="H74" s="19"/>
    </row>
    <row r="75" ht="15.75" customHeight="1">
      <c r="H75" s="19"/>
    </row>
    <row r="76" ht="15.75" customHeight="1">
      <c r="H76" s="19"/>
    </row>
    <row r="77" ht="15.75" customHeight="1">
      <c r="H77" s="19"/>
    </row>
    <row r="78" ht="15.75" customHeight="1">
      <c r="H78" s="19"/>
    </row>
    <row r="79" ht="15.75" customHeight="1">
      <c r="H79" s="19"/>
    </row>
    <row r="80" ht="15.75" customHeight="1">
      <c r="H80" s="19"/>
    </row>
    <row r="81" ht="15.75" customHeight="1">
      <c r="H81" s="19"/>
    </row>
    <row r="82" ht="15.75" customHeight="1">
      <c r="H82" s="19"/>
    </row>
    <row r="83" ht="15.75" customHeight="1">
      <c r="H83" s="19"/>
    </row>
    <row r="84" ht="15.75" customHeight="1">
      <c r="H84" s="19"/>
    </row>
    <row r="85" ht="15.75" customHeight="1">
      <c r="H85" s="19"/>
    </row>
    <row r="86" ht="15.75" customHeight="1">
      <c r="H86" s="19"/>
    </row>
    <row r="87" ht="15.75" customHeight="1">
      <c r="H87" s="19"/>
    </row>
    <row r="88" ht="15.75" customHeight="1">
      <c r="H88" s="19"/>
    </row>
    <row r="89" ht="15.75" customHeight="1">
      <c r="H89" s="19"/>
    </row>
    <row r="90" ht="15.75" customHeight="1">
      <c r="H90" s="19"/>
    </row>
    <row r="91" ht="15.75" customHeight="1">
      <c r="H91" s="19"/>
    </row>
    <row r="92" ht="15.75" customHeight="1">
      <c r="H92" s="19"/>
    </row>
    <row r="93" ht="15.75" customHeight="1">
      <c r="H93" s="19"/>
    </row>
    <row r="94" ht="15.75" customHeight="1">
      <c r="H94" s="19"/>
    </row>
    <row r="95" ht="15.75" customHeight="1">
      <c r="H95" s="19"/>
    </row>
    <row r="96" ht="15.75" customHeight="1">
      <c r="H96" s="19"/>
    </row>
    <row r="97" ht="15.75" customHeight="1">
      <c r="H97" s="19"/>
    </row>
    <row r="98" ht="15.75" customHeight="1">
      <c r="H98" s="19"/>
    </row>
    <row r="99" ht="15.75" customHeight="1">
      <c r="H99" s="19"/>
    </row>
    <row r="100" ht="15.75" customHeight="1">
      <c r="H100" s="19"/>
    </row>
    <row r="101" ht="15.75" customHeight="1">
      <c r="H101" s="19"/>
    </row>
    <row r="102" ht="15.75" customHeight="1">
      <c r="H102" s="19"/>
    </row>
    <row r="103" ht="15.75" customHeight="1">
      <c r="H103" s="19"/>
    </row>
    <row r="104" ht="15.75" customHeight="1">
      <c r="H104" s="19"/>
    </row>
    <row r="105" ht="15.75" customHeight="1">
      <c r="H105" s="19"/>
    </row>
    <row r="106" ht="15.75" customHeight="1">
      <c r="H106" s="19"/>
    </row>
    <row r="107" ht="15.75" customHeight="1">
      <c r="H107" s="19"/>
    </row>
    <row r="108" ht="15.75" customHeight="1">
      <c r="H108" s="19"/>
    </row>
    <row r="109" ht="15.75" customHeight="1">
      <c r="H109" s="19"/>
    </row>
    <row r="110" ht="15.75" customHeight="1">
      <c r="H110" s="19"/>
    </row>
    <row r="111" ht="15.75" customHeight="1">
      <c r="H111" s="19"/>
    </row>
    <row r="112" ht="15.75" customHeight="1">
      <c r="H112" s="19"/>
    </row>
    <row r="113" ht="15.75" customHeight="1">
      <c r="H113" s="19"/>
    </row>
    <row r="114" ht="15.75" customHeight="1">
      <c r="H114" s="19"/>
    </row>
    <row r="115" ht="15.75" customHeight="1">
      <c r="H115" s="19"/>
    </row>
    <row r="116" ht="15.75" customHeight="1">
      <c r="H116" s="19"/>
    </row>
    <row r="117" ht="15.75" customHeight="1">
      <c r="H117" s="19"/>
    </row>
    <row r="118" ht="15.75" customHeight="1">
      <c r="H118" s="19"/>
    </row>
    <row r="119" ht="15.75" customHeight="1">
      <c r="H119" s="19"/>
    </row>
    <row r="120" ht="15.75" customHeight="1">
      <c r="H120" s="19"/>
    </row>
    <row r="121" ht="15.75" customHeight="1">
      <c r="H121" s="19"/>
    </row>
    <row r="122" ht="15.75" customHeight="1">
      <c r="H122" s="19"/>
    </row>
    <row r="123" ht="15.75" customHeight="1">
      <c r="H123" s="19"/>
    </row>
    <row r="124" ht="15.75" customHeight="1">
      <c r="H124" s="19"/>
    </row>
    <row r="125" ht="15.75" customHeight="1">
      <c r="H125" s="19"/>
    </row>
    <row r="126" ht="15.75" customHeight="1">
      <c r="H126" s="19"/>
    </row>
    <row r="127" ht="15.75" customHeight="1">
      <c r="H127" s="19"/>
    </row>
    <row r="128" ht="15.75" customHeight="1">
      <c r="H128" s="19"/>
    </row>
    <row r="129" ht="15.75" customHeight="1">
      <c r="H129" s="19"/>
    </row>
    <row r="130" ht="15.75" customHeight="1">
      <c r="H130" s="19"/>
    </row>
    <row r="131" ht="15.75" customHeight="1">
      <c r="H131" s="19"/>
    </row>
    <row r="132" ht="15.75" customHeight="1">
      <c r="H132" s="19"/>
    </row>
    <row r="133" ht="15.75" customHeight="1">
      <c r="H133" s="19"/>
    </row>
    <row r="134" ht="15.75" customHeight="1">
      <c r="H134" s="19"/>
    </row>
    <row r="135" ht="15.75" customHeight="1">
      <c r="H135" s="19"/>
    </row>
    <row r="136" ht="15.75" customHeight="1">
      <c r="H136" s="19"/>
    </row>
    <row r="137" ht="15.75" customHeight="1">
      <c r="H137" s="19"/>
    </row>
    <row r="138" ht="15.75" customHeight="1">
      <c r="H138" s="19"/>
    </row>
    <row r="139" ht="15.75" customHeight="1">
      <c r="H139" s="19"/>
    </row>
    <row r="140" ht="15.75" customHeight="1">
      <c r="H140" s="19"/>
    </row>
    <row r="141" ht="15.75" customHeight="1">
      <c r="H141" s="19"/>
    </row>
    <row r="142" ht="15.75" customHeight="1">
      <c r="H142" s="19"/>
    </row>
    <row r="143" ht="15.75" customHeight="1">
      <c r="H143" s="19"/>
    </row>
    <row r="144" ht="15.75" customHeight="1">
      <c r="H144" s="19"/>
    </row>
    <row r="145" ht="15.75" customHeight="1">
      <c r="H145" s="19"/>
    </row>
    <row r="146" ht="15.75" customHeight="1">
      <c r="H146" s="19"/>
    </row>
    <row r="147" ht="15.75" customHeight="1">
      <c r="H147" s="19"/>
    </row>
    <row r="148" ht="15.75" customHeight="1">
      <c r="H148" s="19"/>
    </row>
    <row r="149" ht="15.75" customHeight="1">
      <c r="H149" s="19"/>
    </row>
    <row r="150" ht="15.75" customHeight="1">
      <c r="H150" s="19"/>
    </row>
    <row r="151" ht="15.75" customHeight="1">
      <c r="H151" s="19"/>
    </row>
    <row r="152" ht="15.75" customHeight="1">
      <c r="H152" s="19"/>
    </row>
    <row r="153" ht="15.75" customHeight="1">
      <c r="H153" s="19"/>
    </row>
    <row r="154" ht="15.75" customHeight="1">
      <c r="H154" s="19"/>
    </row>
    <row r="155" ht="15.75" customHeight="1">
      <c r="H155" s="19"/>
    </row>
    <row r="156" ht="15.75" customHeight="1">
      <c r="H156" s="19"/>
    </row>
    <row r="157" ht="15.75" customHeight="1">
      <c r="H157" s="19"/>
    </row>
    <row r="158" ht="15.75" customHeight="1">
      <c r="H158" s="19"/>
    </row>
    <row r="159" ht="15.75" customHeight="1">
      <c r="H159" s="19"/>
    </row>
    <row r="160" ht="15.75" customHeight="1">
      <c r="H160" s="19"/>
    </row>
    <row r="161" ht="15.75" customHeight="1">
      <c r="H161" s="19"/>
    </row>
    <row r="162" ht="15.75" customHeight="1">
      <c r="H162" s="19"/>
    </row>
    <row r="163" ht="15.75" customHeight="1">
      <c r="H163" s="19"/>
    </row>
    <row r="164" ht="15.75" customHeight="1">
      <c r="H164" s="19"/>
    </row>
    <row r="165" ht="15.75" customHeight="1">
      <c r="H165" s="19"/>
    </row>
    <row r="166" ht="15.75" customHeight="1">
      <c r="H166" s="19"/>
    </row>
    <row r="167" ht="15.75" customHeight="1">
      <c r="H167" s="19"/>
    </row>
    <row r="168" ht="15.75" customHeight="1">
      <c r="H168" s="19"/>
    </row>
    <row r="169" ht="15.75" customHeight="1">
      <c r="H169" s="19"/>
    </row>
    <row r="170" ht="15.75" customHeight="1">
      <c r="H170" s="19"/>
    </row>
    <row r="171" ht="15.75" customHeight="1">
      <c r="H171" s="19"/>
    </row>
    <row r="172" ht="15.75" customHeight="1">
      <c r="H172" s="19"/>
    </row>
    <row r="173" ht="15.75" customHeight="1">
      <c r="H173" s="19"/>
    </row>
    <row r="174" ht="15.75" customHeight="1">
      <c r="H174" s="19"/>
    </row>
    <row r="175" ht="15.75" customHeight="1">
      <c r="H175" s="19"/>
    </row>
    <row r="176" ht="15.75" customHeight="1">
      <c r="H176" s="19"/>
    </row>
    <row r="177" ht="15.75" customHeight="1">
      <c r="H177" s="19"/>
    </row>
    <row r="178" ht="15.75" customHeight="1">
      <c r="H178" s="19"/>
    </row>
    <row r="179" ht="15.75" customHeight="1">
      <c r="H179" s="19"/>
    </row>
    <row r="180" ht="15.75" customHeight="1">
      <c r="H180" s="19"/>
    </row>
    <row r="181" ht="15.75" customHeight="1">
      <c r="H181" s="19"/>
    </row>
    <row r="182" ht="15.75" customHeight="1">
      <c r="H182" s="19"/>
    </row>
    <row r="183" ht="15.75" customHeight="1">
      <c r="H183" s="19"/>
    </row>
    <row r="184" ht="15.75" customHeight="1">
      <c r="H184" s="19"/>
    </row>
    <row r="185" ht="15.75" customHeight="1">
      <c r="H185" s="19"/>
    </row>
    <row r="186" ht="15.75" customHeight="1">
      <c r="H186" s="19"/>
    </row>
    <row r="187" ht="15.75" customHeight="1">
      <c r="H187" s="19"/>
    </row>
    <row r="188" ht="15.75" customHeight="1">
      <c r="H188" s="19"/>
    </row>
    <row r="189" ht="15.75" customHeight="1">
      <c r="H189" s="19"/>
    </row>
    <row r="190" ht="15.75" customHeight="1">
      <c r="H190" s="19"/>
    </row>
    <row r="191" ht="15.75" customHeight="1">
      <c r="H191" s="19"/>
    </row>
    <row r="192" ht="15.75" customHeight="1">
      <c r="H192" s="19"/>
    </row>
    <row r="193" ht="15.75" customHeight="1">
      <c r="H193" s="19"/>
    </row>
    <row r="194" ht="15.75" customHeight="1">
      <c r="H194" s="19"/>
    </row>
    <row r="195" ht="15.75" customHeight="1">
      <c r="H195" s="19"/>
    </row>
    <row r="196" ht="15.75" customHeight="1">
      <c r="H196" s="19"/>
    </row>
    <row r="197" ht="15.75" customHeight="1">
      <c r="H197" s="19"/>
    </row>
    <row r="198" ht="15.75" customHeight="1">
      <c r="H198" s="19"/>
    </row>
    <row r="199" ht="15.75" customHeight="1">
      <c r="H199" s="19"/>
    </row>
    <row r="200" ht="15.75" customHeight="1">
      <c r="H200" s="19"/>
    </row>
    <row r="201" ht="15.75" customHeight="1">
      <c r="H201" s="19"/>
    </row>
    <row r="202" ht="15.75" customHeight="1">
      <c r="H202" s="19"/>
    </row>
    <row r="203" ht="15.75" customHeight="1">
      <c r="H203" s="19"/>
    </row>
    <row r="204" ht="15.75" customHeight="1">
      <c r="H204" s="19"/>
    </row>
    <row r="205" ht="15.75" customHeight="1">
      <c r="H205" s="19"/>
    </row>
    <row r="206" ht="15.75" customHeight="1">
      <c r="H206" s="19"/>
    </row>
    <row r="207" ht="15.75" customHeight="1">
      <c r="H207" s="19"/>
    </row>
    <row r="208" ht="15.75" customHeight="1">
      <c r="H208" s="19"/>
    </row>
    <row r="209" ht="15.75" customHeight="1">
      <c r="H209" s="19"/>
    </row>
    <row r="210" ht="15.75" customHeight="1">
      <c r="H210" s="19"/>
    </row>
    <row r="211" ht="15.75" customHeight="1">
      <c r="H211" s="19"/>
    </row>
    <row r="212" ht="15.75" customHeight="1">
      <c r="H212" s="19"/>
    </row>
    <row r="213" ht="15.75" customHeight="1">
      <c r="H213" s="19"/>
    </row>
    <row r="214" ht="15.75" customHeight="1">
      <c r="H214" s="19"/>
    </row>
    <row r="215" ht="15.75" customHeight="1">
      <c r="H215" s="19"/>
    </row>
    <row r="216" ht="15.75" customHeight="1">
      <c r="H216" s="19"/>
    </row>
    <row r="217" ht="15.75" customHeight="1">
      <c r="H217" s="19"/>
    </row>
    <row r="218" ht="15.75" customHeight="1">
      <c r="H218" s="19"/>
    </row>
    <row r="219" ht="15.75" customHeight="1">
      <c r="H219" s="19"/>
    </row>
    <row r="220" ht="15.75" customHeight="1">
      <c r="H220" s="19"/>
    </row>
    <row r="221" ht="15.75" customHeight="1">
      <c r="H221" s="19"/>
    </row>
    <row r="222" ht="15.75" customHeight="1">
      <c r="H222" s="19"/>
    </row>
    <row r="223" ht="15.75" customHeight="1">
      <c r="H223" s="19"/>
    </row>
    <row r="224" ht="15.75" customHeight="1">
      <c r="H224" s="19"/>
    </row>
    <row r="225" ht="15.75" customHeight="1">
      <c r="H225" s="19"/>
    </row>
    <row r="226" ht="15.75" customHeight="1">
      <c r="H226" s="19"/>
    </row>
    <row r="227" ht="15.75" customHeight="1">
      <c r="H227" s="19"/>
    </row>
    <row r="228" ht="15.75" customHeight="1">
      <c r="H228" s="19"/>
    </row>
    <row r="229" ht="15.75" customHeight="1">
      <c r="H229" s="19"/>
    </row>
    <row r="230" ht="15.75" customHeight="1">
      <c r="H230" s="19"/>
    </row>
    <row r="231" ht="15.75" customHeight="1">
      <c r="H231" s="19"/>
    </row>
    <row r="232" ht="15.75" customHeight="1">
      <c r="H232" s="19"/>
    </row>
    <row r="233" ht="15.75" customHeight="1">
      <c r="H233" s="19"/>
    </row>
    <row r="234" ht="15.75" customHeight="1">
      <c r="H234" s="19"/>
    </row>
    <row r="235" ht="15.75" customHeight="1">
      <c r="H235" s="19"/>
    </row>
    <row r="236" ht="15.75" customHeight="1">
      <c r="H236" s="19"/>
    </row>
    <row r="237" ht="15.75" customHeight="1">
      <c r="H237" s="19"/>
    </row>
    <row r="238" ht="15.75" customHeight="1">
      <c r="H238" s="19"/>
    </row>
    <row r="239" ht="15.75" customHeight="1">
      <c r="H239" s="19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2">
    <cfRule type="notContainsBlanks" dxfId="6" priority="1">
      <formula>LEN(TRIM(A22))&gt;0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27.5"/>
    <col customWidth="1" min="3" max="3" width="18.38"/>
    <col customWidth="1" min="4" max="11" width="15.13"/>
  </cols>
  <sheetData>
    <row r="1" ht="15.75" customHeight="1">
      <c r="A1" s="260" t="s">
        <v>0</v>
      </c>
      <c r="B1" s="260" t="s">
        <v>1</v>
      </c>
      <c r="C1" s="260" t="s">
        <v>651</v>
      </c>
      <c r="D1" s="260" t="s">
        <v>248</v>
      </c>
      <c r="E1" s="260" t="s">
        <v>63</v>
      </c>
      <c r="F1" s="260" t="s">
        <v>249</v>
      </c>
      <c r="G1" s="260" t="s">
        <v>250</v>
      </c>
      <c r="H1" s="199" t="s">
        <v>251</v>
      </c>
      <c r="I1" s="264"/>
      <c r="J1" s="264"/>
      <c r="K1" s="264"/>
    </row>
    <row r="2" ht="14.25" customHeight="1">
      <c r="A2" s="18" t="s">
        <v>129</v>
      </c>
      <c r="B2" s="18" t="s">
        <v>652</v>
      </c>
      <c r="C2" s="18" t="s">
        <v>653</v>
      </c>
      <c r="D2" s="18" t="s">
        <v>261</v>
      </c>
      <c r="E2" s="18">
        <v>200.0</v>
      </c>
      <c r="F2" s="265">
        <v>132.87</v>
      </c>
      <c r="G2" s="266">
        <v>44085.0</v>
      </c>
      <c r="H2" s="22">
        <f>132.87/57.62-1</f>
        <v>1.305970149</v>
      </c>
    </row>
    <row r="3" ht="15.75" customHeight="1">
      <c r="A3" s="18" t="s">
        <v>654</v>
      </c>
      <c r="B3" s="18" t="s">
        <v>655</v>
      </c>
      <c r="C3" s="18" t="s">
        <v>79</v>
      </c>
      <c r="D3" s="18" t="s">
        <v>253</v>
      </c>
      <c r="E3" s="18">
        <v>125.0</v>
      </c>
      <c r="F3" s="265">
        <v>331.7896</v>
      </c>
      <c r="G3" s="266">
        <v>44085.0</v>
      </c>
      <c r="H3" s="22">
        <f>331.79/37.84-1</f>
        <v>7.768234672</v>
      </c>
    </row>
    <row r="4" ht="15.75" customHeight="1">
      <c r="A4" s="18" t="s">
        <v>656</v>
      </c>
      <c r="B4" s="18" t="s">
        <v>657</v>
      </c>
      <c r="C4" s="18" t="s">
        <v>81</v>
      </c>
      <c r="D4" s="18" t="s">
        <v>253</v>
      </c>
      <c r="E4" s="18">
        <v>210.0</v>
      </c>
      <c r="F4" s="265">
        <v>106.69</v>
      </c>
      <c r="G4" s="266">
        <v>44085.0</v>
      </c>
      <c r="H4" s="22">
        <f>106.69/109.03-1</f>
        <v>-0.02146198294</v>
      </c>
    </row>
    <row r="5" ht="15.75" customHeight="1">
      <c r="A5" s="18" t="s">
        <v>658</v>
      </c>
      <c r="B5" s="18" t="s">
        <v>659</v>
      </c>
      <c r="C5" s="18" t="s">
        <v>87</v>
      </c>
      <c r="D5" s="18" t="s">
        <v>253</v>
      </c>
      <c r="E5" s="18">
        <v>427.0</v>
      </c>
      <c r="F5" s="265">
        <v>56.89</v>
      </c>
      <c r="G5" s="266">
        <v>44085.0</v>
      </c>
      <c r="H5" s="22">
        <f>56.89/58.59-1</f>
        <v>-0.02901519031</v>
      </c>
    </row>
    <row r="6" ht="15.75" customHeight="1">
      <c r="A6" s="18" t="s">
        <v>660</v>
      </c>
      <c r="B6" s="18" t="s">
        <v>661</v>
      </c>
      <c r="C6" s="18" t="s">
        <v>72</v>
      </c>
      <c r="D6" s="18" t="s">
        <v>253</v>
      </c>
      <c r="E6" s="18">
        <v>415.0</v>
      </c>
      <c r="F6" s="265">
        <v>50.915</v>
      </c>
      <c r="G6" s="266">
        <v>44085.0</v>
      </c>
      <c r="H6" s="22">
        <f>50.92/56.6-1</f>
        <v>-0.1003533569</v>
      </c>
    </row>
    <row r="7" ht="15.75" customHeight="1">
      <c r="A7" s="18" t="s">
        <v>76</v>
      </c>
      <c r="B7" s="18" t="s">
        <v>662</v>
      </c>
      <c r="C7" s="18" t="s">
        <v>77</v>
      </c>
      <c r="D7" s="18" t="s">
        <v>253</v>
      </c>
      <c r="E7" s="18">
        <v>182.0</v>
      </c>
      <c r="F7" s="265">
        <v>32.715</v>
      </c>
      <c r="G7" s="266">
        <v>44085.0</v>
      </c>
      <c r="H7" s="22">
        <f>32.72/30.65-1</f>
        <v>0.06753670473</v>
      </c>
    </row>
    <row r="8" ht="15.75" customHeight="1">
      <c r="A8" s="18" t="s">
        <v>663</v>
      </c>
      <c r="B8" s="23" t="s">
        <v>664</v>
      </c>
      <c r="C8" s="18" t="s">
        <v>524</v>
      </c>
      <c r="D8" s="18" t="s">
        <v>253</v>
      </c>
      <c r="E8" s="18">
        <v>662.0</v>
      </c>
      <c r="F8" s="265">
        <v>61.31</v>
      </c>
      <c r="G8" s="266">
        <v>44085.0</v>
      </c>
      <c r="H8" s="22">
        <f>61.31/57.33-1</f>
        <v>0.06942264085</v>
      </c>
    </row>
    <row r="9" ht="15.75" customHeight="1">
      <c r="A9" s="267" t="s">
        <v>71</v>
      </c>
      <c r="B9" s="18" t="s">
        <v>161</v>
      </c>
      <c r="C9" s="18" t="s">
        <v>72</v>
      </c>
      <c r="D9" s="18" t="s">
        <v>264</v>
      </c>
      <c r="E9" s="18">
        <v>223.0</v>
      </c>
      <c r="F9" s="265">
        <v>145.8</v>
      </c>
      <c r="G9" s="266">
        <v>44085.0</v>
      </c>
      <c r="H9" s="22" t="s">
        <v>36</v>
      </c>
    </row>
    <row r="10" ht="15.75" customHeight="1">
      <c r="A10" s="18" t="s">
        <v>78</v>
      </c>
      <c r="B10" s="18" t="s">
        <v>191</v>
      </c>
      <c r="C10" s="18" t="s">
        <v>79</v>
      </c>
      <c r="D10" s="18" t="s">
        <v>264</v>
      </c>
      <c r="E10" s="18">
        <v>970.0</v>
      </c>
      <c r="F10" s="265">
        <v>24.715</v>
      </c>
      <c r="G10" s="266">
        <v>44085.0</v>
      </c>
      <c r="H10" s="22" t="s">
        <v>36</v>
      </c>
    </row>
    <row r="11" ht="15.75" customHeight="1">
      <c r="A11" s="18" t="s">
        <v>82</v>
      </c>
      <c r="B11" s="18" t="s">
        <v>209</v>
      </c>
      <c r="C11" s="18" t="s">
        <v>83</v>
      </c>
      <c r="D11" s="18" t="s">
        <v>264</v>
      </c>
      <c r="E11" s="18">
        <v>217.0</v>
      </c>
      <c r="F11" s="265">
        <v>77.505</v>
      </c>
      <c r="G11" s="266">
        <v>44085.0</v>
      </c>
      <c r="H11" s="22" t="s">
        <v>36</v>
      </c>
    </row>
    <row r="12" ht="15.75" customHeight="1">
      <c r="A12" s="18" t="s">
        <v>86</v>
      </c>
      <c r="B12" s="18" t="s">
        <v>221</v>
      </c>
      <c r="C12" s="18" t="s">
        <v>87</v>
      </c>
      <c r="D12" s="18" t="s">
        <v>264</v>
      </c>
      <c r="E12" s="18">
        <v>445.0</v>
      </c>
      <c r="F12" s="265">
        <v>112.34</v>
      </c>
      <c r="G12" s="266">
        <v>44085.0</v>
      </c>
      <c r="H12" s="22" t="s">
        <v>36</v>
      </c>
    </row>
    <row r="13" ht="15.75" customHeight="1">
      <c r="A13" s="267" t="s">
        <v>665</v>
      </c>
      <c r="B13" s="18" t="s">
        <v>666</v>
      </c>
      <c r="C13" s="18" t="s">
        <v>17</v>
      </c>
      <c r="D13" s="18" t="s">
        <v>277</v>
      </c>
      <c r="E13" s="18">
        <v>29.0</v>
      </c>
      <c r="F13" s="265">
        <v>1000.0</v>
      </c>
      <c r="G13" s="266">
        <v>44089.0</v>
      </c>
      <c r="H13" s="22">
        <v>0.02812</v>
      </c>
    </row>
    <row r="14" ht="15.75" customHeight="1">
      <c r="A14" s="18" t="s">
        <v>667</v>
      </c>
      <c r="B14" s="23" t="s">
        <v>668</v>
      </c>
      <c r="C14" s="18" t="s">
        <v>81</v>
      </c>
      <c r="D14" s="18" t="s">
        <v>253</v>
      </c>
      <c r="E14" s="18">
        <v>196.0</v>
      </c>
      <c r="F14" s="265">
        <v>177.87</v>
      </c>
      <c r="G14" s="266">
        <v>44092.0</v>
      </c>
      <c r="H14" s="22">
        <f>177.87/53.96-1</f>
        <v>2.296330615</v>
      </c>
    </row>
    <row r="15" ht="15.75" customHeight="1">
      <c r="A15" s="18" t="s">
        <v>80</v>
      </c>
      <c r="B15" s="18" t="s">
        <v>200</v>
      </c>
      <c r="C15" s="18" t="s">
        <v>81</v>
      </c>
      <c r="D15" s="18" t="s">
        <v>264</v>
      </c>
      <c r="E15" s="18">
        <v>417.0</v>
      </c>
      <c r="F15" s="265">
        <v>103.005</v>
      </c>
      <c r="G15" s="266">
        <v>44096.0</v>
      </c>
      <c r="H15" s="22" t="s">
        <v>36</v>
      </c>
    </row>
    <row r="16" ht="15.75" customHeight="1">
      <c r="A16" s="18" t="s">
        <v>490</v>
      </c>
      <c r="B16" s="23" t="s">
        <v>491</v>
      </c>
      <c r="C16" s="18" t="s">
        <v>83</v>
      </c>
      <c r="D16" s="18" t="s">
        <v>253</v>
      </c>
      <c r="E16" s="18">
        <v>560.0</v>
      </c>
      <c r="F16" s="18">
        <v>29.525</v>
      </c>
      <c r="G16" s="266">
        <v>44099.0</v>
      </c>
      <c r="H16" s="22">
        <f>29.525/49.66-1</f>
        <v>-0.4054571083</v>
      </c>
    </row>
    <row r="17" ht="15.75" customHeight="1">
      <c r="A17" s="18" t="s">
        <v>323</v>
      </c>
      <c r="B17" s="23" t="s">
        <v>324</v>
      </c>
      <c r="C17" s="18" t="s">
        <v>74</v>
      </c>
      <c r="D17" s="18" t="s">
        <v>253</v>
      </c>
      <c r="E17" s="18">
        <v>516.0</v>
      </c>
      <c r="F17" s="18">
        <v>38.154</v>
      </c>
      <c r="G17" s="266">
        <v>44099.0</v>
      </c>
      <c r="H17" s="22">
        <f>38.154/24.43-1</f>
        <v>0.5617683176</v>
      </c>
    </row>
    <row r="18" ht="15.75" customHeight="1">
      <c r="A18" s="18" t="s">
        <v>73</v>
      </c>
      <c r="B18" s="23" t="s">
        <v>637</v>
      </c>
      <c r="C18" s="18" t="s">
        <v>74</v>
      </c>
      <c r="D18" s="18" t="s">
        <v>264</v>
      </c>
      <c r="E18" s="18">
        <v>524.0</v>
      </c>
      <c r="F18" s="18">
        <v>62.89</v>
      </c>
      <c r="G18" s="266">
        <v>44099.0</v>
      </c>
      <c r="H18" s="22" t="s">
        <v>36</v>
      </c>
    </row>
    <row r="19" ht="15.75" customHeight="1">
      <c r="A19" s="18" t="s">
        <v>82</v>
      </c>
      <c r="B19" s="18" t="s">
        <v>209</v>
      </c>
      <c r="C19" s="18" t="s">
        <v>83</v>
      </c>
      <c r="D19" s="18" t="s">
        <v>260</v>
      </c>
      <c r="E19" s="18">
        <v>235.0</v>
      </c>
      <c r="F19" s="18">
        <v>76.36</v>
      </c>
      <c r="G19" s="266">
        <v>44099.0</v>
      </c>
      <c r="H19" s="19" t="s">
        <v>36</v>
      </c>
    </row>
    <row r="20" ht="15.75" customHeight="1">
      <c r="A20" s="18" t="s">
        <v>258</v>
      </c>
      <c r="B20" s="18" t="s">
        <v>669</v>
      </c>
      <c r="C20" s="18" t="s">
        <v>77</v>
      </c>
      <c r="D20" s="18" t="s">
        <v>253</v>
      </c>
      <c r="E20" s="18">
        <v>258.0</v>
      </c>
      <c r="F20" s="18">
        <v>33.23</v>
      </c>
      <c r="G20" s="266">
        <v>44106.0</v>
      </c>
      <c r="H20" s="19">
        <f>33.23/76.72-1</f>
        <v>-0.5668665276</v>
      </c>
    </row>
    <row r="21" ht="15.75" customHeight="1">
      <c r="A21" s="18" t="s">
        <v>670</v>
      </c>
      <c r="B21" s="18" t="s">
        <v>671</v>
      </c>
      <c r="C21" s="18" t="s">
        <v>83</v>
      </c>
      <c r="D21" s="18" t="s">
        <v>253</v>
      </c>
      <c r="E21" s="18">
        <v>419.0</v>
      </c>
      <c r="F21" s="18">
        <v>40.97</v>
      </c>
      <c r="G21" s="266">
        <v>44113.0</v>
      </c>
      <c r="H21" s="19">
        <f>40.97/49.47-1</f>
        <v>-0.1718213058</v>
      </c>
    </row>
    <row r="22" ht="15.75" customHeight="1">
      <c r="A22" s="18" t="s">
        <v>498</v>
      </c>
      <c r="B22" s="18" t="s">
        <v>672</v>
      </c>
      <c r="C22" s="18" t="s">
        <v>87</v>
      </c>
      <c r="D22" s="18" t="s">
        <v>264</v>
      </c>
      <c r="E22" s="18">
        <v>1144.0</v>
      </c>
      <c r="F22" s="18">
        <v>20.27</v>
      </c>
      <c r="G22" s="266">
        <v>44113.0</v>
      </c>
      <c r="H22" s="22" t="s">
        <v>36</v>
      </c>
    </row>
    <row r="23" ht="15.75" customHeight="1">
      <c r="A23" s="18" t="s">
        <v>121</v>
      </c>
      <c r="B23" s="18" t="s">
        <v>649</v>
      </c>
      <c r="C23" s="18" t="s">
        <v>85</v>
      </c>
      <c r="D23" s="18" t="s">
        <v>261</v>
      </c>
      <c r="E23" s="18">
        <v>47.0</v>
      </c>
      <c r="F23" s="18">
        <v>245.67</v>
      </c>
      <c r="G23" s="266">
        <v>44113.0</v>
      </c>
      <c r="H23" s="22">
        <f>245.67/76.62-1</f>
        <v>2.206342991</v>
      </c>
    </row>
    <row r="24" ht="15.75" customHeight="1">
      <c r="A24" s="18" t="s">
        <v>86</v>
      </c>
      <c r="B24" s="18" t="s">
        <v>221</v>
      </c>
      <c r="C24" s="18" t="s">
        <v>87</v>
      </c>
      <c r="D24" s="18" t="s">
        <v>261</v>
      </c>
      <c r="E24" s="18">
        <v>256.0</v>
      </c>
      <c r="F24" s="18">
        <v>119.81</v>
      </c>
      <c r="G24" s="266">
        <v>44113.0</v>
      </c>
      <c r="H24" s="22">
        <f>119.81/112.34-1</f>
        <v>0.06649457006</v>
      </c>
    </row>
    <row r="25" ht="15.75" customHeight="1">
      <c r="A25" s="84" t="s">
        <v>673</v>
      </c>
      <c r="B25" s="23" t="s">
        <v>674</v>
      </c>
      <c r="C25" s="18" t="s">
        <v>17</v>
      </c>
      <c r="D25" s="18" t="s">
        <v>253</v>
      </c>
      <c r="E25" s="18">
        <v>27.0</v>
      </c>
      <c r="F25" s="18">
        <v>896.01</v>
      </c>
      <c r="G25" s="266">
        <v>44113.0</v>
      </c>
      <c r="H25" s="19">
        <f>896.01/1000.78-1</f>
        <v>-0.1046883431</v>
      </c>
    </row>
    <row r="26" ht="15.75" customHeight="1">
      <c r="A26" s="18" t="s">
        <v>82</v>
      </c>
      <c r="B26" s="18" t="s">
        <v>209</v>
      </c>
      <c r="C26" s="18" t="s">
        <v>83</v>
      </c>
      <c r="D26" s="18" t="s">
        <v>260</v>
      </c>
      <c r="E26" s="18">
        <v>216.0</v>
      </c>
      <c r="F26" s="18">
        <v>80.91</v>
      </c>
      <c r="G26" s="266">
        <v>44113.0</v>
      </c>
      <c r="H26" s="19" t="s">
        <v>36</v>
      </c>
    </row>
    <row r="27" ht="15.75" customHeight="1">
      <c r="A27" s="18" t="s">
        <v>29</v>
      </c>
      <c r="B27" s="18" t="s">
        <v>59</v>
      </c>
      <c r="C27" s="18" t="s">
        <v>17</v>
      </c>
      <c r="D27" s="18" t="s">
        <v>264</v>
      </c>
      <c r="E27" s="18">
        <v>569.0</v>
      </c>
      <c r="F27" s="18">
        <v>117.62</v>
      </c>
      <c r="G27" s="266">
        <v>44113.0</v>
      </c>
      <c r="H27" s="19" t="s">
        <v>36</v>
      </c>
    </row>
    <row r="28" ht="15.75" customHeight="1">
      <c r="A28" s="23" t="s">
        <v>675</v>
      </c>
      <c r="B28" s="23" t="s">
        <v>213</v>
      </c>
      <c r="C28" s="23" t="s">
        <v>653</v>
      </c>
      <c r="D28" s="23" t="s">
        <v>261</v>
      </c>
      <c r="E28" s="23">
        <v>20.0</v>
      </c>
      <c r="F28" s="23">
        <v>1577.0</v>
      </c>
      <c r="G28" s="262">
        <v>44120.0</v>
      </c>
      <c r="H28" s="19">
        <f>1577/275.45-1</f>
        <v>4.725176983</v>
      </c>
      <c r="I28" s="23"/>
    </row>
    <row r="29" ht="15.75" customHeight="1">
      <c r="A29" s="23" t="s">
        <v>676</v>
      </c>
      <c r="B29" s="23" t="s">
        <v>677</v>
      </c>
      <c r="C29" s="23" t="s">
        <v>77</v>
      </c>
      <c r="D29" s="23" t="s">
        <v>253</v>
      </c>
      <c r="E29" s="23">
        <v>76.0</v>
      </c>
      <c r="F29" s="23">
        <v>66.69</v>
      </c>
      <c r="G29" s="262">
        <v>44120.0</v>
      </c>
      <c r="H29" s="19">
        <f>66.69/36.12-1</f>
        <v>0.846345515</v>
      </c>
    </row>
    <row r="30" ht="15.75" customHeight="1">
      <c r="A30" s="23" t="s">
        <v>533</v>
      </c>
      <c r="B30" s="23" t="s">
        <v>567</v>
      </c>
      <c r="C30" s="23" t="s">
        <v>77</v>
      </c>
      <c r="D30" s="23" t="s">
        <v>260</v>
      </c>
      <c r="E30" s="23">
        <v>93.0</v>
      </c>
      <c r="F30" s="23">
        <v>54.45</v>
      </c>
      <c r="G30" s="262">
        <v>44120.0</v>
      </c>
      <c r="H30" s="19" t="s">
        <v>36</v>
      </c>
    </row>
    <row r="31" ht="15.75" customHeight="1">
      <c r="A31" s="23" t="s">
        <v>283</v>
      </c>
      <c r="B31" s="18" t="s">
        <v>284</v>
      </c>
      <c r="C31" s="23" t="s">
        <v>653</v>
      </c>
      <c r="D31" s="23" t="s">
        <v>264</v>
      </c>
      <c r="E31" s="23">
        <v>685.0</v>
      </c>
      <c r="F31" s="23">
        <v>45.53</v>
      </c>
      <c r="G31" s="262">
        <v>44120.0</v>
      </c>
      <c r="H31" s="19" t="s">
        <v>36</v>
      </c>
    </row>
    <row r="32" ht="15.75" customHeight="1">
      <c r="A32" s="23" t="s">
        <v>78</v>
      </c>
      <c r="B32" s="23" t="s">
        <v>191</v>
      </c>
      <c r="C32" s="23" t="s">
        <v>79</v>
      </c>
      <c r="D32" s="23" t="s">
        <v>253</v>
      </c>
      <c r="E32" s="23">
        <v>970.0</v>
      </c>
      <c r="F32" s="23">
        <v>23.65</v>
      </c>
      <c r="G32" s="262">
        <v>44134.0</v>
      </c>
      <c r="H32" s="19">
        <f>23.65/24.72-1</f>
        <v>-0.04328478964</v>
      </c>
    </row>
    <row r="33" ht="15.75" customHeight="1">
      <c r="A33" s="23" t="s">
        <v>103</v>
      </c>
      <c r="B33" s="23" t="s">
        <v>398</v>
      </c>
      <c r="C33" s="23" t="s">
        <v>79</v>
      </c>
      <c r="D33" s="23" t="s">
        <v>264</v>
      </c>
      <c r="E33" s="23">
        <v>588.0</v>
      </c>
      <c r="F33" s="23">
        <v>38.96</v>
      </c>
      <c r="G33" s="262">
        <v>44134.0</v>
      </c>
      <c r="H33" s="19" t="s">
        <v>36</v>
      </c>
    </row>
    <row r="34" ht="15.75" customHeight="1">
      <c r="A34" s="23" t="s">
        <v>71</v>
      </c>
      <c r="B34" s="23" t="s">
        <v>161</v>
      </c>
      <c r="C34" s="23" t="s">
        <v>72</v>
      </c>
      <c r="D34" s="23" t="s">
        <v>253</v>
      </c>
      <c r="E34" s="23">
        <v>223.0</v>
      </c>
      <c r="F34" s="23">
        <v>142.44</v>
      </c>
      <c r="G34" s="262">
        <v>44134.0</v>
      </c>
      <c r="H34" s="19">
        <f>142.44/145.8-1</f>
        <v>-0.02304526749</v>
      </c>
    </row>
    <row r="35" ht="15.75" customHeight="1">
      <c r="A35" s="23" t="s">
        <v>646</v>
      </c>
      <c r="B35" s="23" t="s">
        <v>647</v>
      </c>
      <c r="C35" s="23" t="s">
        <v>72</v>
      </c>
      <c r="D35" s="23" t="s">
        <v>264</v>
      </c>
      <c r="E35" s="23">
        <v>258.0</v>
      </c>
      <c r="F35" s="23">
        <v>122.97</v>
      </c>
      <c r="G35" s="262">
        <v>44134.0</v>
      </c>
      <c r="H35" s="19" t="s">
        <v>36</v>
      </c>
    </row>
    <row r="36" ht="15.75" customHeight="1">
      <c r="A36" s="23" t="s">
        <v>119</v>
      </c>
      <c r="B36" s="23" t="s">
        <v>411</v>
      </c>
      <c r="C36" s="23" t="s">
        <v>85</v>
      </c>
      <c r="D36" s="23" t="s">
        <v>264</v>
      </c>
      <c r="E36" s="23">
        <v>122.0</v>
      </c>
      <c r="F36" s="23">
        <v>95.65</v>
      </c>
      <c r="G36" s="262">
        <v>44141.0</v>
      </c>
      <c r="H36" s="19" t="s">
        <v>36</v>
      </c>
    </row>
    <row r="37" ht="15.75" customHeight="1">
      <c r="A37" s="23" t="s">
        <v>678</v>
      </c>
      <c r="B37" s="18" t="s">
        <v>679</v>
      </c>
      <c r="C37" s="23" t="s">
        <v>17</v>
      </c>
      <c r="D37" s="23" t="s">
        <v>253</v>
      </c>
      <c r="E37" s="23">
        <v>538.0</v>
      </c>
      <c r="F37" s="23">
        <v>33.09</v>
      </c>
      <c r="G37" s="262">
        <v>44148.0</v>
      </c>
      <c r="H37" s="19">
        <f>33.09/31.87-1</f>
        <v>0.03828051459</v>
      </c>
    </row>
    <row r="38" ht="15.75" customHeight="1">
      <c r="A38" s="23" t="s">
        <v>680</v>
      </c>
      <c r="B38" s="23" t="s">
        <v>681</v>
      </c>
      <c r="C38" s="23" t="s">
        <v>72</v>
      </c>
      <c r="D38" s="23" t="s">
        <v>253</v>
      </c>
      <c r="E38" s="23">
        <v>650.0</v>
      </c>
      <c r="F38" s="23">
        <v>58.83</v>
      </c>
      <c r="G38" s="263">
        <v>44148.0</v>
      </c>
      <c r="H38" s="19">
        <f>58.83/33.68-1</f>
        <v>0.7467339667</v>
      </c>
    </row>
    <row r="39" ht="15.75" customHeight="1">
      <c r="A39" s="23" t="s">
        <v>71</v>
      </c>
      <c r="B39" s="23" t="s">
        <v>161</v>
      </c>
      <c r="C39" s="23" t="s">
        <v>72</v>
      </c>
      <c r="D39" s="23" t="s">
        <v>264</v>
      </c>
      <c r="E39" s="23">
        <v>291.0</v>
      </c>
      <c r="F39" s="23">
        <v>154.96</v>
      </c>
      <c r="G39" s="262">
        <v>44152.0</v>
      </c>
      <c r="H39" s="19" t="s">
        <v>36</v>
      </c>
    </row>
    <row r="40" ht="15.75" customHeight="1">
      <c r="A40" s="23" t="s">
        <v>29</v>
      </c>
      <c r="B40" s="23" t="s">
        <v>59</v>
      </c>
      <c r="C40" s="23" t="s">
        <v>17</v>
      </c>
      <c r="D40" s="23" t="s">
        <v>260</v>
      </c>
      <c r="E40" s="23">
        <v>207.0</v>
      </c>
      <c r="F40" s="23">
        <v>117.87</v>
      </c>
      <c r="G40" s="262">
        <v>44152.0</v>
      </c>
      <c r="H40" s="19" t="s">
        <v>36</v>
      </c>
    </row>
    <row r="41" ht="15.75" customHeight="1">
      <c r="A41" s="23" t="s">
        <v>544</v>
      </c>
      <c r="B41" s="18" t="s">
        <v>576</v>
      </c>
      <c r="C41" s="23" t="s">
        <v>91</v>
      </c>
      <c r="D41" s="23" t="s">
        <v>261</v>
      </c>
      <c r="E41" s="23">
        <v>188.0</v>
      </c>
      <c r="F41" s="23">
        <v>58.35</v>
      </c>
      <c r="G41" s="262">
        <v>44155.0</v>
      </c>
      <c r="H41" s="19">
        <f>58.35/53.23-1</f>
        <v>0.09618636107</v>
      </c>
    </row>
    <row r="42" ht="15.75" customHeight="1">
      <c r="A42" s="23" t="s">
        <v>577</v>
      </c>
      <c r="B42" s="23" t="s">
        <v>578</v>
      </c>
      <c r="C42" s="23" t="s">
        <v>91</v>
      </c>
      <c r="D42" s="23" t="s">
        <v>264</v>
      </c>
      <c r="E42" s="23">
        <v>1541.0</v>
      </c>
      <c r="F42" s="23">
        <v>15.49</v>
      </c>
      <c r="G42" s="262">
        <v>44155.0</v>
      </c>
      <c r="H42" s="19" t="s">
        <v>36</v>
      </c>
    </row>
    <row r="43" ht="15.75" customHeight="1">
      <c r="A43" s="23" t="s">
        <v>509</v>
      </c>
      <c r="B43" s="23" t="s">
        <v>510</v>
      </c>
      <c r="C43" s="23" t="s">
        <v>87</v>
      </c>
      <c r="D43" s="23" t="s">
        <v>261</v>
      </c>
      <c r="E43" s="23">
        <v>149.0</v>
      </c>
      <c r="F43" s="23">
        <v>193.55</v>
      </c>
      <c r="G43" s="262">
        <v>44155.0</v>
      </c>
      <c r="H43" s="19">
        <f>193.55/104.63-1</f>
        <v>0.8498518589</v>
      </c>
    </row>
    <row r="44" ht="15.75" customHeight="1">
      <c r="A44" s="23" t="s">
        <v>29</v>
      </c>
      <c r="B44" s="23" t="s">
        <v>59</v>
      </c>
      <c r="C44" s="23" t="s">
        <v>17</v>
      </c>
      <c r="D44" s="23" t="s">
        <v>261</v>
      </c>
      <c r="E44" s="23">
        <v>202.0</v>
      </c>
      <c r="F44" s="23">
        <v>118.29</v>
      </c>
      <c r="G44" s="262">
        <v>44155.0</v>
      </c>
      <c r="H44" s="19">
        <f>118.29/117.68-1</f>
        <v>0.005183548606</v>
      </c>
    </row>
    <row r="45" ht="15.75" customHeight="1">
      <c r="A45" s="23" t="s">
        <v>682</v>
      </c>
      <c r="B45" s="18" t="s">
        <v>592</v>
      </c>
      <c r="C45" s="23" t="s">
        <v>17</v>
      </c>
      <c r="D45" s="23" t="s">
        <v>264</v>
      </c>
      <c r="E45" s="23">
        <v>21.0</v>
      </c>
      <c r="F45" s="23">
        <v>1166.6</v>
      </c>
      <c r="G45" s="262">
        <v>44155.0</v>
      </c>
      <c r="H45" s="19" t="s">
        <v>36</v>
      </c>
    </row>
    <row r="46" ht="15.75" customHeight="1">
      <c r="A46" s="23" t="s">
        <v>86</v>
      </c>
      <c r="B46" s="23" t="s">
        <v>221</v>
      </c>
      <c r="C46" s="23" t="s">
        <v>87</v>
      </c>
      <c r="D46" s="23" t="s">
        <v>260</v>
      </c>
      <c r="E46" s="23">
        <v>347.0</v>
      </c>
      <c r="F46" s="23">
        <v>121.02</v>
      </c>
      <c r="G46" s="262">
        <v>44155.0</v>
      </c>
      <c r="H46" s="19" t="s">
        <v>36</v>
      </c>
    </row>
    <row r="47" ht="15.75" customHeight="1">
      <c r="H47" s="19"/>
    </row>
    <row r="48" ht="15.75" customHeight="1">
      <c r="H48" s="19"/>
    </row>
    <row r="49" ht="15.75" customHeight="1">
      <c r="H49" s="19"/>
    </row>
    <row r="50" ht="15.75" customHeight="1">
      <c r="H50" s="19"/>
    </row>
    <row r="51" ht="15.75" customHeight="1">
      <c r="H51" s="19"/>
    </row>
    <row r="52" ht="15.75" customHeight="1">
      <c r="H52" s="19"/>
    </row>
    <row r="53" ht="15.75" customHeight="1">
      <c r="H53" s="19"/>
    </row>
    <row r="54" ht="15.75" customHeight="1">
      <c r="H54" s="19"/>
    </row>
    <row r="55" ht="15.75" customHeight="1">
      <c r="H55" s="19"/>
    </row>
    <row r="56" ht="15.75" customHeight="1">
      <c r="H56" s="19"/>
    </row>
    <row r="57" ht="15.75" customHeight="1">
      <c r="H57" s="19"/>
    </row>
    <row r="58" ht="15.75" customHeight="1">
      <c r="H58" s="19"/>
    </row>
    <row r="59" ht="15.75" customHeight="1">
      <c r="H59" s="19"/>
    </row>
    <row r="60" ht="15.75" customHeight="1">
      <c r="H60" s="19"/>
    </row>
    <row r="61" ht="15.75" customHeight="1">
      <c r="H61" s="19"/>
    </row>
    <row r="62" ht="15.75" customHeight="1">
      <c r="H62" s="19"/>
    </row>
    <row r="63" ht="15.75" customHeight="1">
      <c r="H63" s="19"/>
    </row>
    <row r="64" ht="15.75" customHeight="1">
      <c r="H64" s="19"/>
    </row>
    <row r="65" ht="15.75" customHeight="1">
      <c r="H65" s="19"/>
    </row>
    <row r="66" ht="15.75" customHeight="1">
      <c r="H66" s="19"/>
    </row>
    <row r="67" ht="15.75" customHeight="1">
      <c r="H67" s="19"/>
    </row>
    <row r="68" ht="15.75" customHeight="1">
      <c r="H68" s="19"/>
    </row>
    <row r="69" ht="15.75" customHeight="1">
      <c r="H69" s="19"/>
    </row>
    <row r="70" ht="15.75" customHeight="1">
      <c r="H70" s="19"/>
    </row>
    <row r="71" ht="15.75" customHeight="1">
      <c r="H71" s="19"/>
    </row>
    <row r="72" ht="15.75" customHeight="1">
      <c r="H72" s="19"/>
    </row>
    <row r="73" ht="15.75" customHeight="1">
      <c r="H73" s="19"/>
    </row>
    <row r="74" ht="15.75" customHeight="1">
      <c r="H74" s="19"/>
    </row>
    <row r="75" ht="15.75" customHeight="1">
      <c r="H75" s="19"/>
    </row>
    <row r="76" ht="15.75" customHeight="1">
      <c r="H76" s="19"/>
    </row>
    <row r="77" ht="15.75" customHeight="1">
      <c r="H77" s="19"/>
    </row>
    <row r="78" ht="15.75" customHeight="1">
      <c r="H78" s="19"/>
    </row>
    <row r="79" ht="15.75" customHeight="1">
      <c r="H79" s="19"/>
    </row>
    <row r="80" ht="15.75" customHeight="1">
      <c r="H80" s="19"/>
    </row>
    <row r="81" ht="15.75" customHeight="1">
      <c r="H81" s="19"/>
    </row>
    <row r="82" ht="15.75" customHeight="1">
      <c r="H82" s="19"/>
    </row>
    <row r="83" ht="15.75" customHeight="1">
      <c r="H83" s="19"/>
    </row>
    <row r="84" ht="15.75" customHeight="1">
      <c r="H84" s="19"/>
    </row>
    <row r="85" ht="15.75" customHeight="1">
      <c r="H85" s="19"/>
    </row>
    <row r="86" ht="15.75" customHeight="1">
      <c r="H86" s="19"/>
    </row>
    <row r="87" ht="15.75" customHeight="1">
      <c r="H87" s="19"/>
    </row>
    <row r="88" ht="15.75" customHeight="1">
      <c r="H88" s="19"/>
    </row>
    <row r="89" ht="15.75" customHeight="1">
      <c r="H89" s="19"/>
    </row>
    <row r="90" ht="15.75" customHeight="1">
      <c r="H90" s="19"/>
    </row>
    <row r="91" ht="15.75" customHeight="1">
      <c r="H91" s="19"/>
    </row>
    <row r="92" ht="15.75" customHeight="1">
      <c r="H92" s="19"/>
    </row>
    <row r="93" ht="15.75" customHeight="1">
      <c r="H93" s="19"/>
    </row>
    <row r="94" ht="15.75" customHeight="1">
      <c r="H94" s="19"/>
    </row>
    <row r="95" ht="15.75" customHeight="1">
      <c r="H95" s="19"/>
    </row>
    <row r="96" ht="15.75" customHeight="1">
      <c r="H96" s="19"/>
    </row>
    <row r="97" ht="15.75" customHeight="1">
      <c r="H97" s="19"/>
    </row>
    <row r="98" ht="15.75" customHeight="1">
      <c r="H98" s="19"/>
    </row>
    <row r="99" ht="15.75" customHeight="1">
      <c r="H99" s="19"/>
    </row>
    <row r="100" ht="15.75" customHeight="1">
      <c r="H100" s="19"/>
    </row>
    <row r="101" ht="15.75" customHeight="1">
      <c r="H101" s="19"/>
    </row>
    <row r="102" ht="15.75" customHeight="1">
      <c r="H102" s="19"/>
    </row>
    <row r="103" ht="15.75" customHeight="1">
      <c r="H103" s="19"/>
    </row>
    <row r="104" ht="15.75" customHeight="1">
      <c r="H104" s="19"/>
    </row>
    <row r="105" ht="15.75" customHeight="1">
      <c r="H105" s="19"/>
    </row>
    <row r="106" ht="15.75" customHeight="1">
      <c r="H106" s="19"/>
    </row>
    <row r="107" ht="15.75" customHeight="1">
      <c r="H107" s="19"/>
    </row>
    <row r="108" ht="15.75" customHeight="1">
      <c r="H108" s="19"/>
    </row>
    <row r="109" ht="15.75" customHeight="1">
      <c r="H109" s="19"/>
    </row>
    <row r="110" ht="15.75" customHeight="1">
      <c r="H110" s="19"/>
    </row>
    <row r="111" ht="15.75" customHeight="1">
      <c r="H111" s="19"/>
    </row>
    <row r="112" ht="15.75" customHeight="1">
      <c r="H112" s="19"/>
    </row>
    <row r="113" ht="15.75" customHeight="1">
      <c r="H113" s="19"/>
    </row>
    <row r="114" ht="15.75" customHeight="1">
      <c r="H114" s="19"/>
    </row>
    <row r="115" ht="15.75" customHeight="1">
      <c r="H115" s="19"/>
    </row>
    <row r="116" ht="15.75" customHeight="1">
      <c r="H116" s="19"/>
    </row>
    <row r="117" ht="15.75" customHeight="1">
      <c r="H117" s="19"/>
    </row>
    <row r="118" ht="15.75" customHeight="1">
      <c r="H118" s="19"/>
    </row>
    <row r="119" ht="15.75" customHeight="1">
      <c r="H119" s="19"/>
    </row>
    <row r="120" ht="15.75" customHeight="1">
      <c r="H120" s="19"/>
    </row>
    <row r="121" ht="15.75" customHeight="1">
      <c r="H121" s="19"/>
    </row>
    <row r="122" ht="15.75" customHeight="1">
      <c r="H122" s="19"/>
    </row>
    <row r="123" ht="15.75" customHeight="1">
      <c r="H123" s="19"/>
    </row>
    <row r="124" ht="15.75" customHeight="1">
      <c r="H124" s="19"/>
    </row>
    <row r="125" ht="15.75" customHeight="1">
      <c r="H125" s="19"/>
    </row>
    <row r="126" ht="15.75" customHeight="1">
      <c r="H126" s="19"/>
    </row>
    <row r="127" ht="15.75" customHeight="1">
      <c r="H127" s="19"/>
    </row>
    <row r="128" ht="15.75" customHeight="1">
      <c r="H128" s="19"/>
    </row>
    <row r="129" ht="15.75" customHeight="1">
      <c r="H129" s="19"/>
    </row>
    <row r="130" ht="15.75" customHeight="1">
      <c r="H130" s="19"/>
    </row>
    <row r="131" ht="15.75" customHeight="1">
      <c r="H131" s="19"/>
    </row>
    <row r="132" ht="15.75" customHeight="1">
      <c r="H132" s="19"/>
    </row>
    <row r="133" ht="15.75" customHeight="1">
      <c r="H133" s="19"/>
    </row>
    <row r="134" ht="15.75" customHeight="1">
      <c r="H134" s="19"/>
    </row>
    <row r="135" ht="15.75" customHeight="1">
      <c r="H135" s="19"/>
    </row>
    <row r="136" ht="15.75" customHeight="1">
      <c r="H136" s="19"/>
    </row>
    <row r="137" ht="15.75" customHeight="1">
      <c r="H137" s="19"/>
    </row>
    <row r="138" ht="15.75" customHeight="1">
      <c r="H138" s="19"/>
    </row>
    <row r="139" ht="15.75" customHeight="1">
      <c r="H139" s="19"/>
    </row>
    <row r="140" ht="15.75" customHeight="1">
      <c r="H140" s="19"/>
    </row>
    <row r="141" ht="15.75" customHeight="1">
      <c r="H141" s="19"/>
    </row>
    <row r="142" ht="15.75" customHeight="1">
      <c r="H142" s="19"/>
    </row>
    <row r="143" ht="15.75" customHeight="1">
      <c r="H143" s="19"/>
    </row>
    <row r="144" ht="15.75" customHeight="1">
      <c r="H144" s="19"/>
    </row>
    <row r="145" ht="15.75" customHeight="1">
      <c r="H145" s="19"/>
    </row>
    <row r="146" ht="15.75" customHeight="1">
      <c r="H146" s="19"/>
    </row>
    <row r="147" ht="15.75" customHeight="1">
      <c r="H147" s="19"/>
    </row>
    <row r="148" ht="15.75" customHeight="1">
      <c r="H148" s="19"/>
    </row>
    <row r="149" ht="15.75" customHeight="1">
      <c r="H149" s="19"/>
    </row>
    <row r="150" ht="15.75" customHeight="1">
      <c r="H150" s="19"/>
    </row>
    <row r="151" ht="15.75" customHeight="1">
      <c r="H151" s="19"/>
    </row>
    <row r="152" ht="15.75" customHeight="1">
      <c r="H152" s="19"/>
    </row>
    <row r="153" ht="15.75" customHeight="1">
      <c r="H153" s="19"/>
    </row>
    <row r="154" ht="15.75" customHeight="1">
      <c r="H154" s="19"/>
    </row>
    <row r="155" ht="15.75" customHeight="1">
      <c r="H155" s="19"/>
    </row>
    <row r="156" ht="15.75" customHeight="1">
      <c r="H156" s="19"/>
    </row>
    <row r="157" ht="15.75" customHeight="1">
      <c r="H157" s="19"/>
    </row>
    <row r="158" ht="15.75" customHeight="1">
      <c r="H158" s="19"/>
    </row>
    <row r="159" ht="15.75" customHeight="1">
      <c r="H159" s="19"/>
    </row>
    <row r="160" ht="15.75" customHeight="1">
      <c r="H160" s="19"/>
    </row>
    <row r="161" ht="15.75" customHeight="1">
      <c r="H161" s="19"/>
    </row>
    <row r="162" ht="15.75" customHeight="1">
      <c r="H162" s="19"/>
    </row>
    <row r="163" ht="15.75" customHeight="1">
      <c r="H163" s="19"/>
    </row>
    <row r="164" ht="15.75" customHeight="1">
      <c r="H164" s="19"/>
    </row>
    <row r="165" ht="15.75" customHeight="1">
      <c r="H165" s="19"/>
    </row>
    <row r="166" ht="15.75" customHeight="1">
      <c r="H166" s="19"/>
    </row>
    <row r="167" ht="15.75" customHeight="1">
      <c r="H167" s="19"/>
    </row>
    <row r="168" ht="15.75" customHeight="1">
      <c r="H168" s="19"/>
    </row>
    <row r="169" ht="15.75" customHeight="1">
      <c r="H169" s="19"/>
    </row>
    <row r="170" ht="15.75" customHeight="1">
      <c r="H170" s="19"/>
    </row>
    <row r="171" ht="15.75" customHeight="1">
      <c r="H171" s="19"/>
    </row>
    <row r="172" ht="15.75" customHeight="1">
      <c r="H172" s="19"/>
    </row>
    <row r="173" ht="15.75" customHeight="1">
      <c r="H173" s="19"/>
    </row>
    <row r="174" ht="15.75" customHeight="1">
      <c r="H174" s="19"/>
    </row>
    <row r="175" ht="15.75" customHeight="1">
      <c r="H175" s="19"/>
    </row>
    <row r="176" ht="15.75" customHeight="1">
      <c r="H176" s="19"/>
    </row>
    <row r="177" ht="15.75" customHeight="1">
      <c r="H177" s="19"/>
    </row>
    <row r="178" ht="15.75" customHeight="1">
      <c r="H178" s="19"/>
    </row>
    <row r="179" ht="15.75" customHeight="1">
      <c r="H179" s="19"/>
    </row>
    <row r="180" ht="15.75" customHeight="1">
      <c r="H180" s="19"/>
    </row>
    <row r="181" ht="15.75" customHeight="1">
      <c r="H181" s="19"/>
    </row>
    <row r="182" ht="15.75" customHeight="1">
      <c r="H182" s="19"/>
    </row>
    <row r="183" ht="15.75" customHeight="1">
      <c r="H183" s="19"/>
    </row>
    <row r="184" ht="15.75" customHeight="1">
      <c r="H184" s="19"/>
    </row>
    <row r="185" ht="15.75" customHeight="1">
      <c r="H185" s="19"/>
    </row>
    <row r="186" ht="15.75" customHeight="1">
      <c r="H186" s="19"/>
    </row>
    <row r="187" ht="15.75" customHeight="1">
      <c r="H187" s="19"/>
    </row>
    <row r="188" ht="15.75" customHeight="1">
      <c r="H188" s="19"/>
    </row>
    <row r="189" ht="15.75" customHeight="1">
      <c r="H189" s="19"/>
    </row>
    <row r="190" ht="15.75" customHeight="1">
      <c r="H190" s="19"/>
    </row>
    <row r="191" ht="15.75" customHeight="1">
      <c r="H191" s="19"/>
    </row>
    <row r="192" ht="15.75" customHeight="1">
      <c r="H192" s="19"/>
    </row>
    <row r="193" ht="15.75" customHeight="1">
      <c r="H193" s="19"/>
    </row>
    <row r="194" ht="15.75" customHeight="1">
      <c r="H194" s="19"/>
    </row>
    <row r="195" ht="15.75" customHeight="1">
      <c r="H195" s="19"/>
    </row>
    <row r="196" ht="15.75" customHeight="1">
      <c r="H196" s="19"/>
    </row>
    <row r="197" ht="15.75" customHeight="1">
      <c r="H197" s="19"/>
    </row>
    <row r="198" ht="15.75" customHeight="1">
      <c r="H198" s="19"/>
    </row>
    <row r="199" ht="15.75" customHeight="1">
      <c r="H199" s="19"/>
    </row>
    <row r="200" ht="15.75" customHeight="1">
      <c r="H200" s="19"/>
    </row>
    <row r="201" ht="15.75" customHeight="1">
      <c r="H201" s="19"/>
    </row>
    <row r="202" ht="15.75" customHeight="1">
      <c r="H202" s="19"/>
    </row>
    <row r="203" ht="15.75" customHeight="1">
      <c r="H203" s="19"/>
    </row>
    <row r="204" ht="15.75" customHeight="1">
      <c r="H204" s="19"/>
    </row>
    <row r="205" ht="15.75" customHeight="1">
      <c r="H205" s="19"/>
    </row>
    <row r="206" ht="15.75" customHeight="1">
      <c r="H206" s="19"/>
    </row>
    <row r="207" ht="15.75" customHeight="1">
      <c r="H207" s="19"/>
    </row>
    <row r="208" ht="15.75" customHeight="1">
      <c r="H208" s="19"/>
    </row>
    <row r="209" ht="15.75" customHeight="1">
      <c r="H209" s="19"/>
    </row>
    <row r="210" ht="15.75" customHeight="1">
      <c r="H210" s="19"/>
    </row>
    <row r="211" ht="15.75" customHeight="1">
      <c r="H211" s="19"/>
    </row>
    <row r="212" ht="15.75" customHeight="1">
      <c r="H212" s="19"/>
    </row>
    <row r="213" ht="15.75" customHeight="1">
      <c r="H213" s="19"/>
    </row>
    <row r="214" ht="15.75" customHeight="1">
      <c r="H214" s="19"/>
    </row>
    <row r="215" ht="15.75" customHeight="1">
      <c r="H215" s="19"/>
    </row>
    <row r="216" ht="15.75" customHeight="1">
      <c r="H216" s="19"/>
    </row>
    <row r="217" ht="15.75" customHeight="1">
      <c r="H217" s="19"/>
    </row>
    <row r="218" ht="15.75" customHeight="1">
      <c r="H218" s="19"/>
    </row>
    <row r="219" ht="15.75" customHeight="1">
      <c r="H219" s="19"/>
    </row>
    <row r="220" ht="15.75" customHeight="1">
      <c r="H220" s="19"/>
    </row>
    <row r="221" ht="15.75" customHeight="1">
      <c r="H221" s="19"/>
    </row>
    <row r="222" ht="15.75" customHeight="1">
      <c r="H222" s="19"/>
    </row>
    <row r="223" ht="15.75" customHeight="1">
      <c r="H223" s="19"/>
    </row>
    <row r="224" ht="15.75" customHeight="1">
      <c r="H224" s="19"/>
    </row>
    <row r="225" ht="15.75" customHeight="1">
      <c r="H225" s="19"/>
    </row>
    <row r="226" ht="15.75" customHeight="1">
      <c r="H226" s="19"/>
    </row>
    <row r="227" ht="15.75" customHeight="1">
      <c r="H227" s="19"/>
    </row>
    <row r="228" ht="15.75" customHeight="1">
      <c r="H228" s="19"/>
    </row>
    <row r="229" ht="15.75" customHeight="1">
      <c r="H229" s="19"/>
    </row>
    <row r="230" ht="15.75" customHeight="1">
      <c r="H230" s="19"/>
    </row>
    <row r="231" ht="15.75" customHeight="1">
      <c r="H231" s="19"/>
    </row>
    <row r="232" ht="15.75" customHeight="1">
      <c r="H232" s="19"/>
    </row>
    <row r="233" ht="15.75" customHeight="1">
      <c r="H233" s="19"/>
    </row>
    <row r="234" ht="15.75" customHeight="1">
      <c r="H234" s="19"/>
    </row>
    <row r="235" ht="15.75" customHeight="1">
      <c r="H235" s="19"/>
    </row>
    <row r="236" ht="15.75" customHeight="1">
      <c r="H236" s="19"/>
    </row>
    <row r="237" ht="15.75" customHeight="1">
      <c r="H237" s="19"/>
    </row>
    <row r="238" ht="15.75" customHeight="1">
      <c r="H238" s="19"/>
    </row>
    <row r="239" ht="15.75" customHeight="1">
      <c r="H239" s="19"/>
    </row>
    <row r="240" ht="15.75" customHeight="1">
      <c r="H240" s="19"/>
    </row>
    <row r="241" ht="15.75" customHeight="1">
      <c r="H241" s="19"/>
    </row>
    <row r="242" ht="15.75" customHeight="1">
      <c r="H242" s="19"/>
    </row>
    <row r="243" ht="15.75" customHeight="1">
      <c r="H243" s="19"/>
    </row>
    <row r="244" ht="15.75" customHeight="1">
      <c r="H244" s="19"/>
    </row>
    <row r="245" ht="15.75" customHeight="1">
      <c r="H245" s="19"/>
    </row>
    <row r="246" ht="15.75" customHeight="1">
      <c r="H246" s="19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2">
    <cfRule type="notContainsBlanks" dxfId="6" priority="1">
      <formula>LEN(TRIM(A22))&gt;0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27.5"/>
    <col customWidth="1" min="3" max="3" width="18.38"/>
    <col customWidth="1" min="4" max="11" width="15.13"/>
  </cols>
  <sheetData>
    <row r="1" ht="15.75" customHeight="1">
      <c r="A1" s="260" t="s">
        <v>0</v>
      </c>
      <c r="B1" s="260" t="s">
        <v>1</v>
      </c>
      <c r="C1" s="260" t="s">
        <v>61</v>
      </c>
      <c r="D1" s="260" t="s">
        <v>248</v>
      </c>
      <c r="E1" s="260" t="s">
        <v>63</v>
      </c>
      <c r="F1" s="260" t="s">
        <v>249</v>
      </c>
      <c r="G1" s="260" t="s">
        <v>250</v>
      </c>
      <c r="H1" s="199" t="s">
        <v>251</v>
      </c>
      <c r="I1" s="264"/>
      <c r="J1" s="264"/>
      <c r="K1" s="264"/>
    </row>
    <row r="2" ht="15.75" customHeight="1">
      <c r="A2" s="18" t="s">
        <v>683</v>
      </c>
      <c r="B2" s="18" t="s">
        <v>684</v>
      </c>
      <c r="C2" s="18" t="s">
        <v>17</v>
      </c>
      <c r="D2" s="18" t="s">
        <v>261</v>
      </c>
      <c r="E2" s="18">
        <v>2238.138</v>
      </c>
      <c r="F2" s="18">
        <v>11.17</v>
      </c>
      <c r="G2" s="266">
        <v>43861.0</v>
      </c>
      <c r="H2" s="22">
        <v>0.0177</v>
      </c>
    </row>
    <row r="3" ht="15.75" customHeight="1">
      <c r="A3" s="18" t="s">
        <v>22</v>
      </c>
      <c r="B3" s="18" t="s">
        <v>685</v>
      </c>
      <c r="C3" s="18" t="s">
        <v>17</v>
      </c>
      <c r="D3" s="18" t="s">
        <v>21</v>
      </c>
      <c r="E3" s="18">
        <v>25.0</v>
      </c>
      <c r="F3" s="18">
        <v>1007.19</v>
      </c>
      <c r="G3" s="266">
        <v>43864.0</v>
      </c>
      <c r="H3" s="22" t="s">
        <v>36</v>
      </c>
    </row>
    <row r="4" ht="15.75" customHeight="1">
      <c r="A4" s="18" t="s">
        <v>683</v>
      </c>
      <c r="B4" s="18" t="s">
        <v>684</v>
      </c>
      <c r="C4" s="18" t="s">
        <v>17</v>
      </c>
      <c r="D4" s="18" t="s">
        <v>253</v>
      </c>
      <c r="E4" s="18">
        <v>2503.927</v>
      </c>
      <c r="F4" s="18">
        <v>11.16</v>
      </c>
      <c r="G4" s="266">
        <v>43866.0</v>
      </c>
      <c r="H4" s="22">
        <v>0.0173</v>
      </c>
    </row>
    <row r="5" ht="15.75" customHeight="1">
      <c r="A5" s="18" t="s">
        <v>686</v>
      </c>
      <c r="B5" s="18" t="s">
        <v>687</v>
      </c>
      <c r="C5" s="18" t="s">
        <v>77</v>
      </c>
      <c r="D5" s="18" t="s">
        <v>253</v>
      </c>
      <c r="E5" s="18">
        <v>790.0</v>
      </c>
      <c r="F5" s="18">
        <v>22.3686</v>
      </c>
      <c r="G5" s="266">
        <v>43873.0</v>
      </c>
      <c r="H5" s="22">
        <v>-0.3632</v>
      </c>
    </row>
    <row r="6" ht="15.75" customHeight="1">
      <c r="A6" s="18" t="s">
        <v>99</v>
      </c>
      <c r="B6" s="18" t="s">
        <v>170</v>
      </c>
      <c r="C6" s="18" t="s">
        <v>77</v>
      </c>
      <c r="D6" s="18" t="s">
        <v>21</v>
      </c>
      <c r="E6" s="18">
        <v>335.0</v>
      </c>
      <c r="F6" s="18">
        <v>73.7856</v>
      </c>
      <c r="G6" s="266">
        <v>43873.0</v>
      </c>
      <c r="H6" s="18" t="s">
        <v>36</v>
      </c>
    </row>
    <row r="7" ht="15.75" customHeight="1">
      <c r="A7" s="18" t="s">
        <v>519</v>
      </c>
      <c r="B7" s="18" t="s">
        <v>520</v>
      </c>
      <c r="C7" s="18" t="s">
        <v>79</v>
      </c>
      <c r="D7" s="18" t="s">
        <v>688</v>
      </c>
      <c r="E7" s="18">
        <v>440.0</v>
      </c>
      <c r="F7" s="18">
        <v>54.7834</v>
      </c>
      <c r="G7" s="266">
        <v>43880.0</v>
      </c>
      <c r="H7" s="22">
        <v>0.3606</v>
      </c>
    </row>
    <row r="8" ht="15.75" customHeight="1">
      <c r="A8" s="18" t="s">
        <v>689</v>
      </c>
      <c r="B8" s="18" t="s">
        <v>690</v>
      </c>
      <c r="C8" s="18" t="s">
        <v>74</v>
      </c>
      <c r="D8" s="18" t="s">
        <v>691</v>
      </c>
      <c r="E8" s="18">
        <v>84.0</v>
      </c>
      <c r="F8" s="18">
        <v>73.39</v>
      </c>
      <c r="G8" s="266">
        <v>43880.0</v>
      </c>
      <c r="H8" s="18" t="s">
        <v>36</v>
      </c>
    </row>
    <row r="9" ht="15.75" customHeight="1">
      <c r="A9" s="267" t="s">
        <v>658</v>
      </c>
      <c r="B9" s="18" t="s">
        <v>692</v>
      </c>
      <c r="C9" s="18" t="s">
        <v>87</v>
      </c>
      <c r="D9" s="18" t="s">
        <v>21</v>
      </c>
      <c r="E9" s="18">
        <v>427.0</v>
      </c>
      <c r="F9" s="18">
        <v>58.59</v>
      </c>
      <c r="G9" s="266">
        <v>43880.0</v>
      </c>
      <c r="H9" s="18" t="s">
        <v>36</v>
      </c>
    </row>
    <row r="10" ht="15.75" customHeight="1">
      <c r="A10" s="18" t="s">
        <v>102</v>
      </c>
      <c r="B10" s="18" t="s">
        <v>421</v>
      </c>
      <c r="C10" s="18" t="s">
        <v>79</v>
      </c>
      <c r="D10" s="18" t="s">
        <v>25</v>
      </c>
      <c r="E10" s="18">
        <v>646.0</v>
      </c>
      <c r="F10" s="18">
        <v>47.03</v>
      </c>
      <c r="G10" s="266">
        <v>43888.0</v>
      </c>
      <c r="H10" s="18" t="s">
        <v>36</v>
      </c>
    </row>
    <row r="11" ht="15.75" customHeight="1">
      <c r="A11" s="18" t="s">
        <v>660</v>
      </c>
      <c r="B11" s="18" t="s">
        <v>693</v>
      </c>
      <c r="C11" s="18" t="s">
        <v>72</v>
      </c>
      <c r="D11" s="18" t="s">
        <v>21</v>
      </c>
      <c r="E11" s="18">
        <v>415.0</v>
      </c>
      <c r="F11" s="18">
        <v>56.6</v>
      </c>
      <c r="G11" s="266">
        <v>43888.0</v>
      </c>
      <c r="H11" s="18" t="s">
        <v>36</v>
      </c>
    </row>
    <row r="12" ht="15.75" customHeight="1">
      <c r="A12" s="18" t="s">
        <v>142</v>
      </c>
      <c r="B12" s="18" t="s">
        <v>694</v>
      </c>
      <c r="C12" s="18" t="s">
        <v>91</v>
      </c>
      <c r="D12" s="18" t="s">
        <v>688</v>
      </c>
      <c r="E12" s="18">
        <v>178.0</v>
      </c>
      <c r="F12" s="18">
        <v>145.03</v>
      </c>
      <c r="G12" s="266">
        <v>43894.0</v>
      </c>
      <c r="H12" s="22">
        <v>0.1397</v>
      </c>
    </row>
    <row r="13" ht="15.75" customHeight="1">
      <c r="A13" s="18" t="s">
        <v>642</v>
      </c>
      <c r="B13" s="18" t="s">
        <v>643</v>
      </c>
      <c r="C13" s="18" t="s">
        <v>91</v>
      </c>
      <c r="D13" s="18" t="s">
        <v>21</v>
      </c>
      <c r="E13" s="18">
        <v>1416.0</v>
      </c>
      <c r="F13" s="18">
        <v>17.74</v>
      </c>
      <c r="G13" s="266">
        <v>43894.0</v>
      </c>
      <c r="H13" s="18" t="s">
        <v>36</v>
      </c>
    </row>
    <row r="14" ht="15.75" customHeight="1">
      <c r="A14" s="18" t="s">
        <v>26</v>
      </c>
      <c r="B14" s="18" t="s">
        <v>695</v>
      </c>
      <c r="C14" s="18" t="s">
        <v>17</v>
      </c>
      <c r="D14" s="18" t="s">
        <v>696</v>
      </c>
      <c r="E14" s="18">
        <v>377.0</v>
      </c>
      <c r="F14" s="18">
        <v>26.55</v>
      </c>
      <c r="G14" s="266">
        <v>43896.0</v>
      </c>
      <c r="H14" s="22">
        <v>0.1307</v>
      </c>
    </row>
    <row r="15" ht="15.75" customHeight="1">
      <c r="A15" s="18" t="s">
        <v>697</v>
      </c>
      <c r="B15" s="18" t="s">
        <v>698</v>
      </c>
      <c r="C15" s="18" t="s">
        <v>87</v>
      </c>
      <c r="D15" s="18" t="s">
        <v>688</v>
      </c>
      <c r="E15" s="18">
        <v>272.0</v>
      </c>
      <c r="F15" s="18">
        <v>82.58</v>
      </c>
      <c r="G15" s="266">
        <v>43896.0</v>
      </c>
      <c r="H15" s="22">
        <v>0.6029</v>
      </c>
    </row>
    <row r="16" ht="15.75" customHeight="1">
      <c r="A16" s="18" t="s">
        <v>121</v>
      </c>
      <c r="B16" s="18" t="s">
        <v>649</v>
      </c>
      <c r="C16" s="18" t="s">
        <v>85</v>
      </c>
      <c r="D16" s="18" t="s">
        <v>202</v>
      </c>
      <c r="E16" s="18">
        <v>30.0</v>
      </c>
      <c r="F16" s="18">
        <v>243.42</v>
      </c>
      <c r="G16" s="266">
        <v>43896.0</v>
      </c>
      <c r="H16" s="22">
        <v>2.354</v>
      </c>
    </row>
    <row r="17" ht="15.75" customHeight="1">
      <c r="A17" s="18" t="s">
        <v>699</v>
      </c>
      <c r="B17" s="18" t="s">
        <v>700</v>
      </c>
      <c r="C17" s="18" t="s">
        <v>83</v>
      </c>
      <c r="D17" s="18" t="s">
        <v>688</v>
      </c>
      <c r="E17" s="18">
        <v>320.0</v>
      </c>
      <c r="F17" s="18">
        <v>115.79</v>
      </c>
      <c r="G17" s="266">
        <v>43896.0</v>
      </c>
      <c r="H17" s="22">
        <v>0.4261</v>
      </c>
    </row>
    <row r="18" ht="15.75" customHeight="1">
      <c r="A18" s="18" t="s">
        <v>133</v>
      </c>
      <c r="B18" s="23" t="s">
        <v>226</v>
      </c>
      <c r="C18" s="18" t="s">
        <v>91</v>
      </c>
      <c r="D18" s="18" t="s">
        <v>202</v>
      </c>
      <c r="E18" s="18">
        <v>42.0</v>
      </c>
      <c r="F18" s="18">
        <v>268.78</v>
      </c>
      <c r="G18" s="266">
        <v>43896.0</v>
      </c>
      <c r="H18" s="22">
        <v>0.6618</v>
      </c>
    </row>
    <row r="19" ht="15.75" customHeight="1">
      <c r="A19" s="18" t="s">
        <v>571</v>
      </c>
      <c r="B19" s="18" t="s">
        <v>572</v>
      </c>
      <c r="C19" s="18" t="s">
        <v>85</v>
      </c>
      <c r="D19" s="18" t="s">
        <v>21</v>
      </c>
      <c r="E19" s="18">
        <v>685.0</v>
      </c>
      <c r="F19" s="18">
        <v>30.53</v>
      </c>
      <c r="G19" s="266">
        <v>43903.0</v>
      </c>
      <c r="H19" s="23" t="s">
        <v>36</v>
      </c>
    </row>
    <row r="20" ht="15.75" customHeight="1">
      <c r="A20" s="18" t="s">
        <v>701</v>
      </c>
      <c r="B20" s="18" t="s">
        <v>702</v>
      </c>
      <c r="C20" s="18" t="s">
        <v>77</v>
      </c>
      <c r="D20" s="18" t="s">
        <v>253</v>
      </c>
      <c r="E20" s="18">
        <v>463.0</v>
      </c>
      <c r="F20" s="18">
        <v>13.0025</v>
      </c>
      <c r="G20" s="266">
        <v>43903.0</v>
      </c>
      <c r="H20" s="19">
        <v>-0.5759</v>
      </c>
    </row>
    <row r="21" ht="15.75" customHeight="1">
      <c r="A21" s="18" t="s">
        <v>76</v>
      </c>
      <c r="B21" s="18" t="s">
        <v>662</v>
      </c>
      <c r="C21" s="18" t="s">
        <v>77</v>
      </c>
      <c r="D21" s="18" t="s">
        <v>703</v>
      </c>
      <c r="E21" s="18">
        <v>182.0</v>
      </c>
      <c r="F21" s="18">
        <v>33.925</v>
      </c>
      <c r="G21" s="266">
        <v>43903.0</v>
      </c>
      <c r="H21" s="23" t="s">
        <v>36</v>
      </c>
    </row>
    <row r="22" ht="15.75" customHeight="1">
      <c r="A22" s="18" t="s">
        <v>108</v>
      </c>
      <c r="B22" s="18" t="s">
        <v>397</v>
      </c>
      <c r="C22" s="18" t="s">
        <v>81</v>
      </c>
      <c r="D22" s="18" t="s">
        <v>31</v>
      </c>
      <c r="E22" s="18">
        <v>55.0</v>
      </c>
      <c r="F22" s="18">
        <v>236.29</v>
      </c>
      <c r="G22" s="266">
        <v>43921.0</v>
      </c>
      <c r="H22" s="18" t="s">
        <v>36</v>
      </c>
    </row>
    <row r="23" ht="15.75" customHeight="1">
      <c r="A23" s="18" t="s">
        <v>704</v>
      </c>
      <c r="B23" s="18" t="s">
        <v>705</v>
      </c>
      <c r="C23" s="18" t="s">
        <v>74</v>
      </c>
      <c r="D23" s="18" t="s">
        <v>688</v>
      </c>
      <c r="E23" s="18">
        <v>1548.0</v>
      </c>
      <c r="F23" s="18">
        <v>12.21</v>
      </c>
      <c r="G23" s="266">
        <v>43924.0</v>
      </c>
      <c r="H23" s="22">
        <f>12.21/14.45-1</f>
        <v>-0.155017301</v>
      </c>
    </row>
    <row r="24" ht="15.75" customHeight="1">
      <c r="A24" s="18" t="s">
        <v>616</v>
      </c>
      <c r="B24" s="18" t="s">
        <v>706</v>
      </c>
      <c r="C24" s="18" t="s">
        <v>74</v>
      </c>
      <c r="D24" s="18" t="s">
        <v>21</v>
      </c>
      <c r="E24" s="18">
        <v>149.0</v>
      </c>
      <c r="F24" s="18">
        <v>124.99</v>
      </c>
      <c r="G24" s="266">
        <v>43924.0</v>
      </c>
      <c r="H24" s="18" t="s">
        <v>36</v>
      </c>
    </row>
    <row r="25" ht="15.75" customHeight="1">
      <c r="A25" s="18" t="s">
        <v>707</v>
      </c>
      <c r="B25" s="18" t="s">
        <v>708</v>
      </c>
      <c r="C25" s="18" t="s">
        <v>81</v>
      </c>
      <c r="D25" s="18" t="s">
        <v>688</v>
      </c>
      <c r="E25" s="18">
        <v>222.0</v>
      </c>
      <c r="F25" s="18">
        <v>78.7</v>
      </c>
      <c r="G25" s="266">
        <v>43929.0</v>
      </c>
      <c r="H25" s="19">
        <f>78.7/65.3-1</f>
        <v>0.2052067381</v>
      </c>
    </row>
    <row r="26" ht="15.75" customHeight="1">
      <c r="A26" s="18" t="s">
        <v>709</v>
      </c>
      <c r="B26" s="18" t="s">
        <v>608</v>
      </c>
      <c r="C26" s="18" t="s">
        <v>77</v>
      </c>
      <c r="D26" s="18" t="s">
        <v>31</v>
      </c>
      <c r="E26" s="18">
        <v>373.0</v>
      </c>
      <c r="F26" s="18">
        <v>35.85</v>
      </c>
      <c r="G26" s="266">
        <v>43929.0</v>
      </c>
      <c r="H26" s="23" t="s">
        <v>36</v>
      </c>
    </row>
    <row r="27" ht="15.75" customHeight="1">
      <c r="A27" s="18" t="s">
        <v>710</v>
      </c>
      <c r="B27" s="18" t="s">
        <v>711</v>
      </c>
      <c r="C27" s="18" t="s">
        <v>91</v>
      </c>
      <c r="D27" s="18" t="s">
        <v>688</v>
      </c>
      <c r="E27" s="18">
        <v>270.0</v>
      </c>
      <c r="F27" s="18">
        <v>74.62</v>
      </c>
      <c r="G27" s="266">
        <v>43929.0</v>
      </c>
      <c r="H27" s="19">
        <f>74.62/80.66-1</f>
        <v>-0.07488222167</v>
      </c>
    </row>
    <row r="28" ht="15.75" customHeight="1">
      <c r="A28" s="23" t="s">
        <v>582</v>
      </c>
      <c r="B28" s="23" t="s">
        <v>583</v>
      </c>
      <c r="C28" s="23" t="s">
        <v>74</v>
      </c>
      <c r="D28" s="23" t="s">
        <v>21</v>
      </c>
      <c r="E28" s="23">
        <v>653.0</v>
      </c>
      <c r="F28" s="23">
        <v>31.245</v>
      </c>
      <c r="G28" s="262">
        <v>43936.0</v>
      </c>
      <c r="H28" s="23" t="s">
        <v>36</v>
      </c>
    </row>
    <row r="29" ht="15.75" customHeight="1">
      <c r="A29" s="23" t="s">
        <v>712</v>
      </c>
      <c r="B29" s="23" t="s">
        <v>713</v>
      </c>
      <c r="C29" s="23" t="s">
        <v>85</v>
      </c>
      <c r="D29" s="23" t="s">
        <v>688</v>
      </c>
      <c r="E29" s="23">
        <v>1102.0</v>
      </c>
      <c r="F29" s="23">
        <v>14.895</v>
      </c>
      <c r="G29" s="262">
        <v>43936.0</v>
      </c>
      <c r="H29" s="19">
        <f>F29/19.8-1</f>
        <v>-0.2477272727</v>
      </c>
    </row>
    <row r="30" ht="15.75" customHeight="1">
      <c r="A30" s="23" t="s">
        <v>533</v>
      </c>
      <c r="B30" s="23" t="s">
        <v>567</v>
      </c>
      <c r="C30" s="23" t="s">
        <v>77</v>
      </c>
      <c r="D30" s="23" t="s">
        <v>31</v>
      </c>
      <c r="E30" s="23">
        <v>304.0</v>
      </c>
      <c r="F30" s="23">
        <v>44.85</v>
      </c>
      <c r="G30" s="262">
        <v>43936.0</v>
      </c>
      <c r="H30" s="23" t="s">
        <v>36</v>
      </c>
    </row>
    <row r="31" ht="15.75" customHeight="1">
      <c r="A31" s="23" t="s">
        <v>689</v>
      </c>
      <c r="B31" s="18" t="s">
        <v>690</v>
      </c>
      <c r="C31" s="23" t="s">
        <v>74</v>
      </c>
      <c r="D31" s="23" t="s">
        <v>688</v>
      </c>
      <c r="E31" s="23">
        <v>84.0</v>
      </c>
      <c r="F31" s="23">
        <v>64.34</v>
      </c>
      <c r="G31" s="262">
        <v>43937.0</v>
      </c>
      <c r="H31" s="19">
        <f>F31/73.39-1</f>
        <v>-0.123313803</v>
      </c>
    </row>
    <row r="32" ht="15.75" customHeight="1">
      <c r="A32" s="23" t="s">
        <v>544</v>
      </c>
      <c r="B32" s="23" t="s">
        <v>576</v>
      </c>
      <c r="C32" s="23" t="s">
        <v>91</v>
      </c>
      <c r="D32" s="23" t="s">
        <v>21</v>
      </c>
      <c r="E32" s="23">
        <v>392.0</v>
      </c>
      <c r="F32" s="23">
        <v>53.23</v>
      </c>
      <c r="G32" s="262">
        <v>43938.0</v>
      </c>
      <c r="H32" s="23" t="s">
        <v>36</v>
      </c>
    </row>
    <row r="33" ht="15.75" customHeight="1">
      <c r="A33" s="23" t="s">
        <v>545</v>
      </c>
      <c r="B33" s="23" t="s">
        <v>546</v>
      </c>
      <c r="C33" s="23" t="s">
        <v>17</v>
      </c>
      <c r="D33" s="23" t="s">
        <v>167</v>
      </c>
      <c r="E33" s="23">
        <v>750.0</v>
      </c>
      <c r="F33" s="23">
        <v>22.89</v>
      </c>
      <c r="G33" s="262">
        <v>43938.0</v>
      </c>
      <c r="H33" s="19">
        <f>F33/25.2-1</f>
        <v>-0.09166666667</v>
      </c>
    </row>
    <row r="34" ht="15.75" customHeight="1">
      <c r="A34" s="23" t="s">
        <v>678</v>
      </c>
      <c r="B34" s="23" t="s">
        <v>679</v>
      </c>
      <c r="C34" s="23" t="s">
        <v>17</v>
      </c>
      <c r="D34" s="23" t="s">
        <v>33</v>
      </c>
      <c r="E34" s="23">
        <v>538.0</v>
      </c>
      <c r="F34" s="23">
        <v>31.87</v>
      </c>
      <c r="G34" s="262">
        <v>43938.0</v>
      </c>
      <c r="H34" s="23" t="s">
        <v>36</v>
      </c>
    </row>
    <row r="35" ht="15.75" customHeight="1">
      <c r="A35" s="23" t="s">
        <v>714</v>
      </c>
      <c r="B35" s="23" t="s">
        <v>715</v>
      </c>
      <c r="C35" s="23" t="s">
        <v>524</v>
      </c>
      <c r="D35" s="23" t="s">
        <v>688</v>
      </c>
      <c r="E35" s="23">
        <v>576.0</v>
      </c>
      <c r="F35" s="23">
        <v>15.4</v>
      </c>
      <c r="G35" s="262">
        <v>43943.0</v>
      </c>
      <c r="H35" s="19">
        <f>15.4/25.48-1</f>
        <v>-0.3956043956</v>
      </c>
    </row>
    <row r="36" ht="15.75" customHeight="1">
      <c r="A36" s="23" t="s">
        <v>716</v>
      </c>
      <c r="B36" s="23" t="s">
        <v>717</v>
      </c>
      <c r="C36" s="23" t="s">
        <v>72</v>
      </c>
      <c r="D36" s="23" t="s">
        <v>688</v>
      </c>
      <c r="E36" s="23">
        <v>157.0</v>
      </c>
      <c r="F36" s="23">
        <v>205.71</v>
      </c>
      <c r="G36" s="262">
        <v>43983.0</v>
      </c>
      <c r="H36" s="19">
        <f>F36/147.77-1</f>
        <v>0.3920958246</v>
      </c>
    </row>
    <row r="37" ht="15.75" customHeight="1">
      <c r="H37" s="19"/>
    </row>
    <row r="38" ht="15.75" customHeight="1">
      <c r="H38" s="19"/>
    </row>
    <row r="39" ht="15.75" customHeight="1">
      <c r="H39" s="19"/>
    </row>
    <row r="40" ht="15.75" customHeight="1">
      <c r="H40" s="19"/>
    </row>
    <row r="41" ht="15.75" customHeight="1">
      <c r="H41" s="19"/>
    </row>
    <row r="42" ht="15.75" customHeight="1">
      <c r="H42" s="19"/>
    </row>
    <row r="43" ht="15.75" customHeight="1">
      <c r="H43" s="19"/>
    </row>
    <row r="44" ht="15.75" customHeight="1">
      <c r="H44" s="19"/>
    </row>
    <row r="45" ht="15.75" customHeight="1">
      <c r="H45" s="19"/>
    </row>
    <row r="46" ht="15.75" customHeight="1">
      <c r="H46" s="19"/>
    </row>
    <row r="47" ht="15.75" customHeight="1">
      <c r="H47" s="19"/>
    </row>
    <row r="48" ht="15.75" customHeight="1">
      <c r="H48" s="19"/>
    </row>
    <row r="49" ht="15.75" customHeight="1">
      <c r="H49" s="19"/>
    </row>
    <row r="50" ht="15.75" customHeight="1">
      <c r="H50" s="19"/>
    </row>
    <row r="51" ht="15.75" customHeight="1">
      <c r="H51" s="19"/>
    </row>
    <row r="52" ht="15.75" customHeight="1">
      <c r="H52" s="19"/>
    </row>
    <row r="53" ht="15.75" customHeight="1">
      <c r="H53" s="19"/>
    </row>
    <row r="54" ht="15.75" customHeight="1">
      <c r="H54" s="19"/>
    </row>
    <row r="55" ht="15.75" customHeight="1">
      <c r="H55" s="19"/>
    </row>
    <row r="56" ht="15.75" customHeight="1">
      <c r="H56" s="19"/>
    </row>
    <row r="57" ht="15.75" customHeight="1">
      <c r="H57" s="19"/>
    </row>
    <row r="58" ht="15.75" customHeight="1">
      <c r="H58" s="19"/>
    </row>
    <row r="59" ht="15.75" customHeight="1">
      <c r="H59" s="19"/>
    </row>
    <row r="60" ht="15.75" customHeight="1">
      <c r="H60" s="19"/>
    </row>
    <row r="61" ht="15.75" customHeight="1">
      <c r="H61" s="19"/>
    </row>
    <row r="62" ht="15.75" customHeight="1">
      <c r="H62" s="19"/>
    </row>
    <row r="63" ht="15.75" customHeight="1">
      <c r="H63" s="19"/>
    </row>
    <row r="64" ht="15.75" customHeight="1">
      <c r="H64" s="19"/>
    </row>
    <row r="65" ht="15.75" customHeight="1">
      <c r="H65" s="19"/>
    </row>
    <row r="66" ht="15.75" customHeight="1">
      <c r="H66" s="19"/>
    </row>
    <row r="67" ht="15.75" customHeight="1">
      <c r="H67" s="19"/>
    </row>
    <row r="68" ht="15.75" customHeight="1">
      <c r="H68" s="19"/>
    </row>
    <row r="69" ht="15.75" customHeight="1">
      <c r="H69" s="19"/>
    </row>
    <row r="70" ht="15.75" customHeight="1">
      <c r="H70" s="19"/>
    </row>
    <row r="71" ht="15.75" customHeight="1">
      <c r="H71" s="19"/>
    </row>
    <row r="72" ht="15.75" customHeight="1">
      <c r="H72" s="19"/>
    </row>
    <row r="73" ht="15.75" customHeight="1">
      <c r="H73" s="19"/>
    </row>
    <row r="74" ht="15.75" customHeight="1">
      <c r="H74" s="19"/>
    </row>
    <row r="75" ht="15.75" customHeight="1">
      <c r="H75" s="19"/>
    </row>
    <row r="76" ht="15.75" customHeight="1">
      <c r="H76" s="19"/>
    </row>
    <row r="77" ht="15.75" customHeight="1">
      <c r="H77" s="19"/>
    </row>
    <row r="78" ht="15.75" customHeight="1">
      <c r="H78" s="19"/>
    </row>
    <row r="79" ht="15.75" customHeight="1">
      <c r="H79" s="19"/>
    </row>
    <row r="80" ht="15.75" customHeight="1">
      <c r="H80" s="19"/>
    </row>
    <row r="81" ht="15.75" customHeight="1">
      <c r="H81" s="19"/>
    </row>
    <row r="82" ht="15.75" customHeight="1">
      <c r="H82" s="19"/>
    </row>
    <row r="83" ht="15.75" customHeight="1">
      <c r="H83" s="19"/>
    </row>
    <row r="84" ht="15.75" customHeight="1">
      <c r="H84" s="19"/>
    </row>
    <row r="85" ht="15.75" customHeight="1">
      <c r="H85" s="19"/>
    </row>
    <row r="86" ht="15.75" customHeight="1">
      <c r="H86" s="19"/>
    </row>
    <row r="87" ht="15.75" customHeight="1">
      <c r="H87" s="19"/>
    </row>
    <row r="88" ht="15.75" customHeight="1">
      <c r="H88" s="19"/>
    </row>
    <row r="89" ht="15.75" customHeight="1">
      <c r="H89" s="19"/>
    </row>
    <row r="90" ht="15.75" customHeight="1">
      <c r="H90" s="19"/>
    </row>
    <row r="91" ht="15.75" customHeight="1">
      <c r="H91" s="19"/>
    </row>
    <row r="92" ht="15.75" customHeight="1">
      <c r="H92" s="19"/>
    </row>
    <row r="93" ht="15.75" customHeight="1">
      <c r="H93" s="19"/>
    </row>
    <row r="94" ht="15.75" customHeight="1">
      <c r="H94" s="19"/>
    </row>
    <row r="95" ht="15.75" customHeight="1">
      <c r="H95" s="19"/>
    </row>
    <row r="96" ht="15.75" customHeight="1">
      <c r="H96" s="19"/>
    </row>
    <row r="97" ht="15.75" customHeight="1">
      <c r="H97" s="19"/>
    </row>
    <row r="98" ht="15.75" customHeight="1">
      <c r="H98" s="19"/>
    </row>
    <row r="99" ht="15.75" customHeight="1">
      <c r="H99" s="19"/>
    </row>
    <row r="100" ht="15.75" customHeight="1">
      <c r="H100" s="19"/>
    </row>
    <row r="101" ht="15.75" customHeight="1">
      <c r="H101" s="19"/>
    </row>
    <row r="102" ht="15.75" customHeight="1">
      <c r="H102" s="19"/>
    </row>
    <row r="103" ht="15.75" customHeight="1">
      <c r="H103" s="19"/>
    </row>
    <row r="104" ht="15.75" customHeight="1">
      <c r="H104" s="19"/>
    </row>
    <row r="105" ht="15.75" customHeight="1">
      <c r="H105" s="19"/>
    </row>
    <row r="106" ht="15.75" customHeight="1">
      <c r="H106" s="19"/>
    </row>
    <row r="107" ht="15.75" customHeight="1">
      <c r="H107" s="19"/>
    </row>
    <row r="108" ht="15.75" customHeight="1">
      <c r="H108" s="19"/>
    </row>
    <row r="109" ht="15.75" customHeight="1">
      <c r="H109" s="19"/>
    </row>
    <row r="110" ht="15.75" customHeight="1">
      <c r="H110" s="19"/>
    </row>
    <row r="111" ht="15.75" customHeight="1">
      <c r="H111" s="19"/>
    </row>
    <row r="112" ht="15.75" customHeight="1">
      <c r="H112" s="19"/>
    </row>
    <row r="113" ht="15.75" customHeight="1">
      <c r="H113" s="19"/>
    </row>
    <row r="114" ht="15.75" customHeight="1">
      <c r="H114" s="19"/>
    </row>
    <row r="115" ht="15.75" customHeight="1">
      <c r="H115" s="19"/>
    </row>
    <row r="116" ht="15.75" customHeight="1">
      <c r="H116" s="19"/>
    </row>
    <row r="117" ht="15.75" customHeight="1">
      <c r="H117" s="19"/>
    </row>
    <row r="118" ht="15.75" customHeight="1">
      <c r="H118" s="19"/>
    </row>
    <row r="119" ht="15.75" customHeight="1">
      <c r="H119" s="19"/>
    </row>
    <row r="120" ht="15.75" customHeight="1">
      <c r="H120" s="19"/>
    </row>
    <row r="121" ht="15.75" customHeight="1">
      <c r="H121" s="19"/>
    </row>
    <row r="122" ht="15.75" customHeight="1">
      <c r="H122" s="19"/>
    </row>
    <row r="123" ht="15.75" customHeight="1">
      <c r="H123" s="19"/>
    </row>
    <row r="124" ht="15.75" customHeight="1">
      <c r="H124" s="19"/>
    </row>
    <row r="125" ht="15.75" customHeight="1">
      <c r="H125" s="19"/>
    </row>
    <row r="126" ht="15.75" customHeight="1">
      <c r="H126" s="19"/>
    </row>
    <row r="127" ht="15.75" customHeight="1">
      <c r="H127" s="19"/>
    </row>
    <row r="128" ht="15.75" customHeight="1">
      <c r="H128" s="19"/>
    </row>
    <row r="129" ht="15.75" customHeight="1">
      <c r="H129" s="19"/>
    </row>
    <row r="130" ht="15.75" customHeight="1">
      <c r="H130" s="19"/>
    </row>
    <row r="131" ht="15.75" customHeight="1">
      <c r="H131" s="19"/>
    </row>
    <row r="132" ht="15.75" customHeight="1">
      <c r="H132" s="19"/>
    </row>
    <row r="133" ht="15.75" customHeight="1">
      <c r="H133" s="19"/>
    </row>
    <row r="134" ht="15.75" customHeight="1">
      <c r="H134" s="19"/>
    </row>
    <row r="135" ht="15.75" customHeight="1">
      <c r="H135" s="19"/>
    </row>
    <row r="136" ht="15.75" customHeight="1">
      <c r="H136" s="19"/>
    </row>
    <row r="137" ht="15.75" customHeight="1">
      <c r="H137" s="19"/>
    </row>
    <row r="138" ht="15.75" customHeight="1">
      <c r="H138" s="19"/>
    </row>
    <row r="139" ht="15.75" customHeight="1">
      <c r="H139" s="19"/>
    </row>
    <row r="140" ht="15.75" customHeight="1">
      <c r="H140" s="19"/>
    </row>
    <row r="141" ht="15.75" customHeight="1">
      <c r="H141" s="19"/>
    </row>
    <row r="142" ht="15.75" customHeight="1">
      <c r="H142" s="19"/>
    </row>
    <row r="143" ht="15.75" customHeight="1">
      <c r="H143" s="19"/>
    </row>
    <row r="144" ht="15.75" customHeight="1">
      <c r="H144" s="19"/>
    </row>
    <row r="145" ht="15.75" customHeight="1">
      <c r="H145" s="19"/>
    </row>
    <row r="146" ht="15.75" customHeight="1">
      <c r="H146" s="19"/>
    </row>
    <row r="147" ht="15.75" customHeight="1">
      <c r="H147" s="19"/>
    </row>
    <row r="148" ht="15.75" customHeight="1">
      <c r="H148" s="19"/>
    </row>
    <row r="149" ht="15.75" customHeight="1">
      <c r="H149" s="19"/>
    </row>
    <row r="150" ht="15.75" customHeight="1">
      <c r="H150" s="19"/>
    </row>
    <row r="151" ht="15.75" customHeight="1">
      <c r="H151" s="19"/>
    </row>
    <row r="152" ht="15.75" customHeight="1">
      <c r="H152" s="19"/>
    </row>
    <row r="153" ht="15.75" customHeight="1">
      <c r="H153" s="19"/>
    </row>
    <row r="154" ht="15.75" customHeight="1">
      <c r="H154" s="19"/>
    </row>
    <row r="155" ht="15.75" customHeight="1">
      <c r="H155" s="19"/>
    </row>
    <row r="156" ht="15.75" customHeight="1">
      <c r="H156" s="19"/>
    </row>
    <row r="157" ht="15.75" customHeight="1">
      <c r="H157" s="19"/>
    </row>
    <row r="158" ht="15.75" customHeight="1">
      <c r="H158" s="19"/>
    </row>
    <row r="159" ht="15.75" customHeight="1">
      <c r="H159" s="19"/>
    </row>
    <row r="160" ht="15.75" customHeight="1">
      <c r="H160" s="19"/>
    </row>
    <row r="161" ht="15.75" customHeight="1">
      <c r="H161" s="19"/>
    </row>
    <row r="162" ht="15.75" customHeight="1">
      <c r="H162" s="19"/>
    </row>
    <row r="163" ht="15.75" customHeight="1">
      <c r="H163" s="19"/>
    </row>
    <row r="164" ht="15.75" customHeight="1">
      <c r="H164" s="19"/>
    </row>
    <row r="165" ht="15.75" customHeight="1">
      <c r="H165" s="19"/>
    </row>
    <row r="166" ht="15.75" customHeight="1">
      <c r="H166" s="19"/>
    </row>
    <row r="167" ht="15.75" customHeight="1">
      <c r="H167" s="19"/>
    </row>
    <row r="168" ht="15.75" customHeight="1">
      <c r="H168" s="19"/>
    </row>
    <row r="169" ht="15.75" customHeight="1">
      <c r="H169" s="19"/>
    </row>
    <row r="170" ht="15.75" customHeight="1">
      <c r="H170" s="19"/>
    </row>
    <row r="171" ht="15.75" customHeight="1">
      <c r="H171" s="19"/>
    </row>
    <row r="172" ht="15.75" customHeight="1">
      <c r="H172" s="19"/>
    </row>
    <row r="173" ht="15.75" customHeight="1">
      <c r="H173" s="19"/>
    </row>
    <row r="174" ht="15.75" customHeight="1">
      <c r="H174" s="19"/>
    </row>
    <row r="175" ht="15.75" customHeight="1">
      <c r="H175" s="19"/>
    </row>
    <row r="176" ht="15.75" customHeight="1">
      <c r="H176" s="19"/>
    </row>
    <row r="177" ht="15.75" customHeight="1">
      <c r="H177" s="19"/>
    </row>
    <row r="178" ht="15.75" customHeight="1">
      <c r="H178" s="19"/>
    </row>
    <row r="179" ht="15.75" customHeight="1">
      <c r="H179" s="19"/>
    </row>
    <row r="180" ht="15.75" customHeight="1">
      <c r="H180" s="19"/>
    </row>
    <row r="181" ht="15.75" customHeight="1">
      <c r="H181" s="19"/>
    </row>
    <row r="182" ht="15.75" customHeight="1">
      <c r="H182" s="19"/>
    </row>
    <row r="183" ht="15.75" customHeight="1">
      <c r="H183" s="19"/>
    </row>
    <row r="184" ht="15.75" customHeight="1">
      <c r="H184" s="19"/>
    </row>
    <row r="185" ht="15.75" customHeight="1">
      <c r="H185" s="19"/>
    </row>
    <row r="186" ht="15.75" customHeight="1">
      <c r="H186" s="19"/>
    </row>
    <row r="187" ht="15.75" customHeight="1">
      <c r="H187" s="19"/>
    </row>
    <row r="188" ht="15.75" customHeight="1">
      <c r="H188" s="19"/>
    </row>
    <row r="189" ht="15.75" customHeight="1">
      <c r="H189" s="19"/>
    </row>
    <row r="190" ht="15.75" customHeight="1">
      <c r="H190" s="19"/>
    </row>
    <row r="191" ht="15.75" customHeight="1">
      <c r="H191" s="19"/>
    </row>
    <row r="192" ht="15.75" customHeight="1">
      <c r="H192" s="19"/>
    </row>
    <row r="193" ht="15.75" customHeight="1">
      <c r="H193" s="19"/>
    </row>
    <row r="194" ht="15.75" customHeight="1">
      <c r="H194" s="19"/>
    </row>
    <row r="195" ht="15.75" customHeight="1">
      <c r="H195" s="19"/>
    </row>
    <row r="196" ht="15.75" customHeight="1">
      <c r="H196" s="19"/>
    </row>
    <row r="197" ht="15.75" customHeight="1">
      <c r="H197" s="19"/>
    </row>
    <row r="198" ht="15.75" customHeight="1">
      <c r="H198" s="19"/>
    </row>
    <row r="199" ht="15.75" customHeight="1">
      <c r="H199" s="19"/>
    </row>
    <row r="200" ht="15.75" customHeight="1">
      <c r="H200" s="19"/>
    </row>
    <row r="201" ht="15.75" customHeight="1">
      <c r="H201" s="19"/>
    </row>
    <row r="202" ht="15.75" customHeight="1">
      <c r="H202" s="19"/>
    </row>
    <row r="203" ht="15.75" customHeight="1">
      <c r="H203" s="19"/>
    </row>
    <row r="204" ht="15.75" customHeight="1">
      <c r="H204" s="19"/>
    </row>
    <row r="205" ht="15.75" customHeight="1">
      <c r="H205" s="19"/>
    </row>
    <row r="206" ht="15.75" customHeight="1">
      <c r="H206" s="19"/>
    </row>
    <row r="207" ht="15.75" customHeight="1">
      <c r="H207" s="19"/>
    </row>
    <row r="208" ht="15.75" customHeight="1">
      <c r="H208" s="19"/>
    </row>
    <row r="209" ht="15.75" customHeight="1">
      <c r="H209" s="19"/>
    </row>
    <row r="210" ht="15.75" customHeight="1">
      <c r="H210" s="19"/>
    </row>
    <row r="211" ht="15.75" customHeight="1">
      <c r="H211" s="19"/>
    </row>
    <row r="212" ht="15.75" customHeight="1">
      <c r="H212" s="19"/>
    </row>
    <row r="213" ht="15.75" customHeight="1">
      <c r="H213" s="19"/>
    </row>
    <row r="214" ht="15.75" customHeight="1">
      <c r="H214" s="19"/>
    </row>
    <row r="215" ht="15.75" customHeight="1">
      <c r="H215" s="19"/>
    </row>
    <row r="216" ht="15.75" customHeight="1">
      <c r="H216" s="19"/>
    </row>
    <row r="217" ht="15.75" customHeight="1">
      <c r="H217" s="19"/>
    </row>
    <row r="218" ht="15.75" customHeight="1">
      <c r="H218" s="19"/>
    </row>
    <row r="219" ht="15.75" customHeight="1">
      <c r="H219" s="19"/>
    </row>
    <row r="220" ht="15.75" customHeight="1">
      <c r="H220" s="19"/>
    </row>
    <row r="221" ht="15.75" customHeight="1">
      <c r="H221" s="19"/>
    </row>
    <row r="222" ht="15.75" customHeight="1">
      <c r="H222" s="19"/>
    </row>
    <row r="223" ht="15.75" customHeight="1">
      <c r="H223" s="19"/>
    </row>
    <row r="224" ht="15.75" customHeight="1">
      <c r="H224" s="19"/>
    </row>
    <row r="225" ht="15.75" customHeight="1">
      <c r="H225" s="19"/>
    </row>
    <row r="226" ht="15.75" customHeight="1">
      <c r="H226" s="19"/>
    </row>
    <row r="227" ht="15.75" customHeight="1">
      <c r="H227" s="19"/>
    </row>
    <row r="228" ht="15.75" customHeight="1">
      <c r="H228" s="19"/>
    </row>
    <row r="229" ht="15.75" customHeight="1">
      <c r="H229" s="19"/>
    </row>
    <row r="230" ht="15.75" customHeight="1">
      <c r="H230" s="19"/>
    </row>
    <row r="231" ht="15.75" customHeight="1">
      <c r="H231" s="19"/>
    </row>
    <row r="232" ht="15.75" customHeight="1">
      <c r="H232" s="19"/>
    </row>
    <row r="233" ht="15.75" customHeight="1">
      <c r="H233" s="19"/>
    </row>
    <row r="234" ht="15.75" customHeight="1">
      <c r="H234" s="19"/>
    </row>
    <row r="235" ht="15.75" customHeight="1">
      <c r="H235" s="19"/>
    </row>
    <row r="236" ht="15.75" customHeight="1">
      <c r="H236" s="19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2">
    <cfRule type="notContainsBlanks" dxfId="6" priority="1">
      <formula>LEN(TRIM(A22))&gt;0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27.5"/>
    <col customWidth="1" min="3" max="11" width="15.13"/>
  </cols>
  <sheetData>
    <row r="1" ht="15.75" customHeight="1">
      <c r="A1" s="260" t="s">
        <v>0</v>
      </c>
      <c r="B1" s="260" t="s">
        <v>1</v>
      </c>
      <c r="C1" s="260" t="s">
        <v>61</v>
      </c>
      <c r="D1" s="260" t="s">
        <v>248</v>
      </c>
      <c r="E1" s="260" t="s">
        <v>63</v>
      </c>
      <c r="F1" s="260" t="s">
        <v>249</v>
      </c>
      <c r="G1" s="260" t="s">
        <v>250</v>
      </c>
      <c r="H1" s="196" t="s">
        <v>251</v>
      </c>
      <c r="I1" s="264"/>
      <c r="J1" s="264"/>
      <c r="K1" s="264"/>
    </row>
    <row r="2" ht="15.75" customHeight="1">
      <c r="A2" s="23" t="s">
        <v>718</v>
      </c>
      <c r="B2" s="23" t="s">
        <v>719</v>
      </c>
      <c r="C2" s="23" t="s">
        <v>17</v>
      </c>
      <c r="D2" s="23" t="s">
        <v>720</v>
      </c>
      <c r="E2" s="23">
        <v>35.0</v>
      </c>
      <c r="F2" s="23">
        <v>100.0</v>
      </c>
      <c r="G2" s="262">
        <v>43723.0</v>
      </c>
      <c r="H2" s="23" t="s">
        <v>36</v>
      </c>
    </row>
    <row r="3" ht="15.75" customHeight="1">
      <c r="A3" s="23" t="s">
        <v>721</v>
      </c>
      <c r="B3" s="23" t="s">
        <v>722</v>
      </c>
      <c r="C3" s="23" t="s">
        <v>83</v>
      </c>
      <c r="D3" s="23" t="s">
        <v>688</v>
      </c>
      <c r="E3" s="23">
        <v>1128.0</v>
      </c>
      <c r="F3" s="23">
        <v>18.55</v>
      </c>
      <c r="G3" s="262">
        <v>43740.0</v>
      </c>
      <c r="H3" s="19">
        <v>-0.213</v>
      </c>
    </row>
    <row r="4" ht="15.75" customHeight="1">
      <c r="A4" s="23" t="s">
        <v>723</v>
      </c>
      <c r="B4" s="23" t="s">
        <v>724</v>
      </c>
      <c r="C4" s="23" t="s">
        <v>17</v>
      </c>
      <c r="D4" s="23" t="s">
        <v>688</v>
      </c>
      <c r="E4" s="23">
        <v>31.0</v>
      </c>
      <c r="F4" s="23">
        <v>103.98</v>
      </c>
      <c r="G4" s="262">
        <v>43740.0</v>
      </c>
      <c r="H4" s="19">
        <v>0.0365</v>
      </c>
    </row>
    <row r="5" ht="15.75" customHeight="1">
      <c r="A5" s="23" t="s">
        <v>609</v>
      </c>
      <c r="B5" s="23" t="s">
        <v>725</v>
      </c>
      <c r="C5" s="23" t="s">
        <v>726</v>
      </c>
      <c r="D5" s="23" t="s">
        <v>727</v>
      </c>
      <c r="E5" s="23">
        <v>67.0</v>
      </c>
      <c r="F5" s="23">
        <v>117.62</v>
      </c>
      <c r="G5" s="262">
        <v>43740.0</v>
      </c>
      <c r="H5" s="23" t="s">
        <v>36</v>
      </c>
    </row>
    <row r="6" ht="15.75" customHeight="1">
      <c r="A6" s="23" t="s">
        <v>670</v>
      </c>
      <c r="B6" s="23" t="s">
        <v>728</v>
      </c>
      <c r="C6" s="23" t="s">
        <v>83</v>
      </c>
      <c r="D6" s="23" t="s">
        <v>25</v>
      </c>
      <c r="E6" s="23">
        <v>419.0</v>
      </c>
      <c r="F6" s="23">
        <v>49.47</v>
      </c>
      <c r="G6" s="262">
        <v>43740.0</v>
      </c>
      <c r="H6" s="23" t="s">
        <v>36</v>
      </c>
    </row>
    <row r="7" ht="15.75" customHeight="1">
      <c r="A7" s="23" t="s">
        <v>644</v>
      </c>
      <c r="B7" s="23" t="s">
        <v>645</v>
      </c>
      <c r="C7" s="23" t="s">
        <v>87</v>
      </c>
      <c r="D7" s="23" t="s">
        <v>25</v>
      </c>
      <c r="E7" s="23">
        <v>95.0</v>
      </c>
      <c r="F7" s="18">
        <v>75.11</v>
      </c>
      <c r="G7" s="262">
        <v>43740.0</v>
      </c>
      <c r="H7" s="23" t="s">
        <v>36</v>
      </c>
    </row>
    <row r="8" ht="15.75" customHeight="1">
      <c r="A8" s="18" t="s">
        <v>131</v>
      </c>
      <c r="B8" s="18" t="s">
        <v>399</v>
      </c>
      <c r="C8" s="18" t="s">
        <v>87</v>
      </c>
      <c r="D8" s="18" t="s">
        <v>729</v>
      </c>
      <c r="E8" s="18">
        <v>205.0</v>
      </c>
      <c r="F8" s="18">
        <v>65.33</v>
      </c>
      <c r="G8" s="266">
        <v>43740.0</v>
      </c>
      <c r="H8" s="18" t="s">
        <v>36</v>
      </c>
    </row>
    <row r="9" ht="15.75" customHeight="1">
      <c r="A9" s="23" t="s">
        <v>730</v>
      </c>
      <c r="B9" s="23" t="s">
        <v>731</v>
      </c>
      <c r="C9" s="23" t="s">
        <v>524</v>
      </c>
      <c r="D9" s="23" t="s">
        <v>688</v>
      </c>
      <c r="E9" s="23">
        <v>334.0</v>
      </c>
      <c r="F9" s="23">
        <v>40.12</v>
      </c>
      <c r="G9" s="262">
        <v>43747.0</v>
      </c>
      <c r="H9" s="19">
        <v>-0.0407</v>
      </c>
    </row>
    <row r="10" ht="15.75" customHeight="1">
      <c r="A10" s="267" t="s">
        <v>665</v>
      </c>
      <c r="B10" s="23" t="s">
        <v>732</v>
      </c>
      <c r="C10" s="23" t="s">
        <v>17</v>
      </c>
      <c r="D10" s="23" t="s">
        <v>25</v>
      </c>
      <c r="E10" s="23">
        <v>29.0</v>
      </c>
      <c r="F10" s="23">
        <v>101.32</v>
      </c>
      <c r="G10" s="262">
        <v>43747.0</v>
      </c>
      <c r="H10" s="23" t="s">
        <v>36</v>
      </c>
    </row>
    <row r="11" ht="15.75" customHeight="1">
      <c r="A11" s="23" t="s">
        <v>138</v>
      </c>
      <c r="B11" s="23" t="s">
        <v>733</v>
      </c>
      <c r="C11" s="23" t="s">
        <v>77</v>
      </c>
      <c r="D11" s="23" t="s">
        <v>688</v>
      </c>
      <c r="E11" s="23">
        <v>309.0</v>
      </c>
      <c r="F11" s="23">
        <v>60.79</v>
      </c>
      <c r="G11" s="262">
        <v>43747.0</v>
      </c>
      <c r="H11" s="19">
        <v>-0.1076</v>
      </c>
    </row>
    <row r="12" ht="15.75" customHeight="1">
      <c r="A12" s="23" t="s">
        <v>605</v>
      </c>
      <c r="B12" s="23" t="s">
        <v>734</v>
      </c>
      <c r="C12" s="23" t="s">
        <v>87</v>
      </c>
      <c r="D12" s="23" t="s">
        <v>25</v>
      </c>
      <c r="E12" s="23">
        <v>273.0</v>
      </c>
      <c r="F12" s="23">
        <v>77.13</v>
      </c>
      <c r="G12" s="262">
        <v>43747.0</v>
      </c>
      <c r="H12" s="23" t="s">
        <v>36</v>
      </c>
    </row>
    <row r="13" ht="15.75" customHeight="1">
      <c r="A13" s="23" t="s">
        <v>735</v>
      </c>
      <c r="B13" s="23" t="s">
        <v>736</v>
      </c>
      <c r="C13" s="23" t="s">
        <v>87</v>
      </c>
      <c r="D13" s="23" t="s">
        <v>688</v>
      </c>
      <c r="E13" s="23">
        <v>400.0</v>
      </c>
      <c r="F13" s="23">
        <v>54.42</v>
      </c>
      <c r="G13" s="262">
        <v>43747.0</v>
      </c>
      <c r="H13" s="19">
        <v>-0.192</v>
      </c>
    </row>
    <row r="14" ht="15.75" customHeight="1">
      <c r="A14" s="23" t="s">
        <v>289</v>
      </c>
      <c r="B14" s="23" t="s">
        <v>737</v>
      </c>
      <c r="C14" s="23" t="s">
        <v>81</v>
      </c>
      <c r="D14" s="23" t="s">
        <v>688</v>
      </c>
      <c r="E14" s="23">
        <v>311.0</v>
      </c>
      <c r="F14" s="23">
        <v>65.54</v>
      </c>
      <c r="G14" s="262">
        <v>43762.0</v>
      </c>
      <c r="H14" s="19">
        <v>0.1362</v>
      </c>
    </row>
    <row r="15" ht="15.75" customHeight="1">
      <c r="A15" s="23" t="s">
        <v>600</v>
      </c>
      <c r="B15" s="23" t="s">
        <v>738</v>
      </c>
      <c r="C15" s="23" t="s">
        <v>87</v>
      </c>
      <c r="D15" s="23" t="s">
        <v>739</v>
      </c>
      <c r="E15" s="23">
        <v>496.0</v>
      </c>
      <c r="F15" s="23">
        <v>83.93</v>
      </c>
      <c r="G15" s="262">
        <v>43762.0</v>
      </c>
      <c r="H15" s="19">
        <v>0.7082</v>
      </c>
    </row>
    <row r="16" ht="15.75" customHeight="1">
      <c r="A16" s="23" t="s">
        <v>740</v>
      </c>
      <c r="B16" s="23" t="s">
        <v>741</v>
      </c>
      <c r="C16" s="23" t="s">
        <v>87</v>
      </c>
      <c r="D16" s="23" t="s">
        <v>688</v>
      </c>
      <c r="E16" s="23">
        <v>485.0</v>
      </c>
      <c r="F16" s="23">
        <v>58.65</v>
      </c>
      <c r="G16" s="262">
        <v>43762.0</v>
      </c>
      <c r="H16" s="19">
        <v>0.2402</v>
      </c>
    </row>
    <row r="17" ht="15.75" customHeight="1">
      <c r="A17" s="23" t="s">
        <v>109</v>
      </c>
      <c r="B17" s="23" t="s">
        <v>192</v>
      </c>
      <c r="C17" s="23" t="s">
        <v>81</v>
      </c>
      <c r="D17" s="23" t="s">
        <v>25</v>
      </c>
      <c r="E17" s="23">
        <v>72.0</v>
      </c>
      <c r="F17" s="23">
        <v>300.13</v>
      </c>
      <c r="G17" s="262">
        <v>43768.0</v>
      </c>
      <c r="H17" s="23" t="s">
        <v>36</v>
      </c>
    </row>
    <row r="18" ht="15.75" customHeight="1">
      <c r="A18" s="23" t="s">
        <v>122</v>
      </c>
      <c r="B18" s="23" t="s">
        <v>310</v>
      </c>
      <c r="C18" s="23" t="s">
        <v>87</v>
      </c>
      <c r="D18" s="23" t="s">
        <v>25</v>
      </c>
      <c r="E18" s="23">
        <v>79.0</v>
      </c>
      <c r="F18" s="23">
        <v>275.6</v>
      </c>
      <c r="G18" s="262">
        <v>43768.0</v>
      </c>
      <c r="H18" s="23" t="s">
        <v>36</v>
      </c>
    </row>
    <row r="19" ht="15.75" customHeight="1">
      <c r="A19" s="23" t="s">
        <v>742</v>
      </c>
      <c r="B19" s="23" t="s">
        <v>743</v>
      </c>
      <c r="C19" s="23" t="s">
        <v>79</v>
      </c>
      <c r="D19" s="23" t="s">
        <v>688</v>
      </c>
      <c r="E19" s="23">
        <v>1314.0</v>
      </c>
      <c r="F19" s="23">
        <v>18.19</v>
      </c>
      <c r="G19" s="262">
        <v>43768.0</v>
      </c>
      <c r="H19" s="19">
        <v>-0.1306</v>
      </c>
    </row>
    <row r="20" ht="15.75" customHeight="1">
      <c r="A20" s="23" t="s">
        <v>545</v>
      </c>
      <c r="B20" s="23" t="s">
        <v>546</v>
      </c>
      <c r="C20" s="23" t="s">
        <v>17</v>
      </c>
      <c r="D20" s="23" t="s">
        <v>744</v>
      </c>
      <c r="E20" s="23">
        <v>1507.0</v>
      </c>
      <c r="F20" s="23">
        <v>25.2</v>
      </c>
      <c r="G20" s="262">
        <v>43775.0</v>
      </c>
    </row>
    <row r="21" ht="15.75" customHeight="1">
      <c r="A21" s="23" t="s">
        <v>26</v>
      </c>
      <c r="B21" s="23" t="s">
        <v>695</v>
      </c>
      <c r="C21" s="23" t="s">
        <v>17</v>
      </c>
      <c r="D21" s="23" t="s">
        <v>744</v>
      </c>
      <c r="E21" s="23">
        <v>1618.0</v>
      </c>
      <c r="F21" s="23">
        <v>23.49</v>
      </c>
      <c r="G21" s="262">
        <v>43776.0</v>
      </c>
    </row>
    <row r="22" ht="15.75" customHeight="1">
      <c r="A22" s="23" t="s">
        <v>20</v>
      </c>
      <c r="B22" s="23" t="s">
        <v>745</v>
      </c>
      <c r="C22" s="23" t="s">
        <v>17</v>
      </c>
      <c r="D22" s="23" t="s">
        <v>21</v>
      </c>
      <c r="E22" s="23">
        <v>25.0</v>
      </c>
      <c r="F22" s="23">
        <f>100+3/8</f>
        <v>100.375</v>
      </c>
      <c r="G22" s="262">
        <v>43776.0</v>
      </c>
    </row>
    <row r="23" ht="15.75" customHeight="1">
      <c r="A23" s="23" t="s">
        <v>746</v>
      </c>
      <c r="B23" s="23" t="s">
        <v>747</v>
      </c>
      <c r="C23" s="23" t="s">
        <v>87</v>
      </c>
      <c r="D23" s="23" t="s">
        <v>688</v>
      </c>
      <c r="E23" s="23">
        <v>934.0</v>
      </c>
      <c r="F23" s="23">
        <v>29.47</v>
      </c>
      <c r="G23" s="262">
        <v>43782.0</v>
      </c>
      <c r="H23" s="19">
        <v>0.3765</v>
      </c>
    </row>
    <row r="24" ht="15.75" customHeight="1">
      <c r="A24" s="23" t="s">
        <v>142</v>
      </c>
      <c r="B24" s="23" t="s">
        <v>694</v>
      </c>
      <c r="C24" s="23" t="s">
        <v>91</v>
      </c>
      <c r="D24" s="23" t="s">
        <v>748</v>
      </c>
      <c r="E24" s="23">
        <v>50.0</v>
      </c>
      <c r="F24" s="23">
        <v>146.64</v>
      </c>
      <c r="G24" s="262">
        <v>43782.0</v>
      </c>
      <c r="H24" s="19">
        <v>0.1502</v>
      </c>
    </row>
    <row r="25" ht="15.75" customHeight="1">
      <c r="A25" s="23" t="s">
        <v>133</v>
      </c>
      <c r="B25" s="23" t="s">
        <v>749</v>
      </c>
      <c r="C25" s="23" t="s">
        <v>91</v>
      </c>
      <c r="D25" s="23" t="s">
        <v>748</v>
      </c>
      <c r="E25" s="23">
        <v>36.0</v>
      </c>
      <c r="F25" s="23">
        <v>227.33</v>
      </c>
      <c r="G25" s="262">
        <v>43782.0</v>
      </c>
      <c r="H25" s="19">
        <v>0.4022</v>
      </c>
    </row>
    <row r="26" ht="15.75" customHeight="1">
      <c r="A26" s="23" t="s">
        <v>710</v>
      </c>
      <c r="B26" s="23" t="s">
        <v>750</v>
      </c>
      <c r="C26" s="23" t="s">
        <v>91</v>
      </c>
      <c r="D26" s="23" t="s">
        <v>25</v>
      </c>
      <c r="E26" s="23">
        <v>270.0</v>
      </c>
      <c r="F26" s="23">
        <v>80.66</v>
      </c>
      <c r="G26" s="262">
        <v>43782.0</v>
      </c>
    </row>
    <row r="27" ht="15.75" customHeight="1">
      <c r="A27" s="23" t="s">
        <v>712</v>
      </c>
      <c r="B27" s="23" t="s">
        <v>713</v>
      </c>
      <c r="C27" s="23" t="s">
        <v>85</v>
      </c>
      <c r="D27" s="23" t="s">
        <v>25</v>
      </c>
      <c r="E27" s="23">
        <v>1102.0</v>
      </c>
      <c r="F27" s="23">
        <v>19.8</v>
      </c>
      <c r="G27" s="262">
        <v>43782.0</v>
      </c>
    </row>
    <row r="28" ht="15.75" customHeight="1">
      <c r="A28" s="23" t="s">
        <v>714</v>
      </c>
      <c r="B28" s="23" t="s">
        <v>715</v>
      </c>
      <c r="C28" s="23" t="s">
        <v>524</v>
      </c>
      <c r="D28" s="23" t="s">
        <v>751</v>
      </c>
      <c r="E28" s="23">
        <v>349.0</v>
      </c>
      <c r="F28" s="23">
        <v>26.29</v>
      </c>
      <c r="G28" s="262">
        <v>43782.0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28"/>
  <conditionalFormatting sqref="A23">
    <cfRule type="notContainsBlanks" dxfId="6" priority="1">
      <formula>LEN(TRIM(A23))&gt;0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68" t="s">
        <v>752</v>
      </c>
      <c r="B1" s="268" t="s">
        <v>753</v>
      </c>
      <c r="C1" s="268" t="s">
        <v>154</v>
      </c>
      <c r="D1" s="268" t="s">
        <v>754</v>
      </c>
      <c r="E1" s="268" t="s">
        <v>755</v>
      </c>
      <c r="F1" s="268" t="s">
        <v>756</v>
      </c>
      <c r="G1" s="268" t="s">
        <v>757</v>
      </c>
      <c r="H1" s="268" t="s">
        <v>758</v>
      </c>
    </row>
    <row r="2" ht="15.75" customHeight="1">
      <c r="A2" s="262">
        <v>43710.0</v>
      </c>
      <c r="B2" s="19">
        <v>0.1738</v>
      </c>
      <c r="C2" s="23">
        <v>0.77</v>
      </c>
      <c r="D2" s="19">
        <v>0.1028</v>
      </c>
      <c r="E2" s="23">
        <v>0.42</v>
      </c>
      <c r="F2" s="23">
        <v>26.06</v>
      </c>
      <c r="G2" s="23">
        <v>6.27</v>
      </c>
      <c r="H2" s="19">
        <v>0.0246</v>
      </c>
    </row>
    <row r="3" ht="15.75" customHeight="1">
      <c r="A3" s="262">
        <v>43717.0</v>
      </c>
      <c r="B3" s="19">
        <v>0.1588</v>
      </c>
      <c r="C3" s="23">
        <v>0.84</v>
      </c>
      <c r="D3" s="19">
        <v>0.1175</v>
      </c>
      <c r="E3" s="23">
        <v>0.499</v>
      </c>
      <c r="F3" s="23">
        <v>30.84</v>
      </c>
      <c r="G3" s="23">
        <v>7.36</v>
      </c>
      <c r="H3" s="19">
        <v>0.0218</v>
      </c>
    </row>
    <row r="4" ht="15.75" customHeight="1">
      <c r="A4" s="262">
        <v>43724.0</v>
      </c>
      <c r="B4" s="23">
        <v>18.99</v>
      </c>
      <c r="C4" s="23">
        <v>0.92</v>
      </c>
      <c r="D4" s="19">
        <v>0.1369</v>
      </c>
      <c r="E4" s="23">
        <v>0.53</v>
      </c>
      <c r="F4" s="23">
        <v>30.83</v>
      </c>
      <c r="G4" s="23">
        <v>7.12</v>
      </c>
      <c r="H4" s="19">
        <v>0.0218</v>
      </c>
    </row>
    <row r="5" ht="15.75" customHeight="1">
      <c r="A5" s="262">
        <v>43731.0</v>
      </c>
      <c r="B5" s="19">
        <v>0.1905</v>
      </c>
      <c r="C5" s="23">
        <v>0.92</v>
      </c>
      <c r="D5" s="19">
        <v>0.1362</v>
      </c>
      <c r="E5" s="23">
        <v>0.58</v>
      </c>
      <c r="F5" s="23">
        <v>31.47</v>
      </c>
      <c r="G5" s="23">
        <v>7.29</v>
      </c>
      <c r="H5" s="19">
        <v>0.0218</v>
      </c>
    </row>
    <row r="6" ht="15.75" customHeight="1">
      <c r="A6" s="262">
        <v>43738.0</v>
      </c>
      <c r="B6" s="19">
        <v>0.1842</v>
      </c>
      <c r="C6" s="23">
        <v>0.895</v>
      </c>
      <c r="D6" s="19">
        <v>0.1458</v>
      </c>
      <c r="E6" s="23">
        <v>0.45</v>
      </c>
      <c r="F6" s="23">
        <v>30.01</v>
      </c>
      <c r="G6" s="23">
        <v>7.31</v>
      </c>
      <c r="H6" s="19">
        <v>0.0217</v>
      </c>
    </row>
    <row r="7" ht="15.75" customHeight="1">
      <c r="A7" s="262">
        <v>43745.0</v>
      </c>
      <c r="B7" s="19">
        <v>0.1793</v>
      </c>
      <c r="C7" s="23">
        <v>0.894</v>
      </c>
      <c r="D7" s="19">
        <v>0.1426</v>
      </c>
      <c r="E7" s="23">
        <v>0.39</v>
      </c>
      <c r="F7" s="23">
        <v>30.36</v>
      </c>
      <c r="G7" s="23">
        <v>7.43</v>
      </c>
      <c r="H7" s="19">
        <v>0.0207</v>
      </c>
    </row>
    <row r="8" ht="15.75" customHeight="1">
      <c r="A8" s="262">
        <v>43752.0</v>
      </c>
      <c r="B8" s="19">
        <v>0.1919</v>
      </c>
      <c r="C8" s="23">
        <v>0.898</v>
      </c>
      <c r="D8" s="19">
        <v>0.1488</v>
      </c>
      <c r="E8" s="23">
        <v>0.39</v>
      </c>
      <c r="F8" s="23">
        <v>31.3</v>
      </c>
      <c r="G8" s="23">
        <v>7.79</v>
      </c>
      <c r="H8" s="19">
        <v>0.0202</v>
      </c>
    </row>
    <row r="9" ht="15.75" customHeight="1">
      <c r="A9" s="262">
        <v>43759.0</v>
      </c>
      <c r="B9" s="19">
        <v>0.1951</v>
      </c>
      <c r="C9" s="23">
        <v>0.898</v>
      </c>
      <c r="D9" s="19">
        <v>0.1464</v>
      </c>
      <c r="E9" s="23">
        <v>0.39</v>
      </c>
      <c r="F9" s="23">
        <v>31.31</v>
      </c>
      <c r="G9" s="23">
        <v>7.72</v>
      </c>
      <c r="H9" s="19">
        <v>0.0201</v>
      </c>
    </row>
    <row r="10" ht="15.75" customHeight="1">
      <c r="A10" s="262">
        <v>43766.0</v>
      </c>
      <c r="B10" s="19">
        <v>0.2006</v>
      </c>
      <c r="C10" s="23">
        <v>0.898</v>
      </c>
      <c r="D10" s="19">
        <v>0.1509</v>
      </c>
      <c r="E10" s="23">
        <v>0.38</v>
      </c>
      <c r="F10" s="23">
        <v>32.38</v>
      </c>
      <c r="G10" s="23">
        <v>7.7</v>
      </c>
      <c r="H10" s="19">
        <v>0.0202</v>
      </c>
    </row>
    <row r="11" ht="15.75" customHeight="1">
      <c r="A11" s="262">
        <v>43773.0</v>
      </c>
      <c r="B11" s="19">
        <v>0.2125</v>
      </c>
      <c r="C11" s="23">
        <v>0.894</v>
      </c>
      <c r="D11" s="19">
        <v>0.1517</v>
      </c>
      <c r="E11" s="23">
        <v>0.41</v>
      </c>
      <c r="F11" s="23">
        <v>34.1</v>
      </c>
      <c r="G11" s="23">
        <v>8.02</v>
      </c>
      <c r="H11" s="19">
        <v>0.0188</v>
      </c>
    </row>
    <row r="12" ht="15.75" customHeight="1">
      <c r="A12" s="262">
        <v>43780.0</v>
      </c>
      <c r="B12" s="19">
        <v>0.2267</v>
      </c>
      <c r="C12" s="23">
        <v>0.894</v>
      </c>
      <c r="D12" s="19">
        <v>0.1508</v>
      </c>
      <c r="E12" s="23">
        <v>0.4</v>
      </c>
      <c r="F12" s="23">
        <v>34.67</v>
      </c>
      <c r="G12" s="23">
        <v>7.99</v>
      </c>
      <c r="H12" s="19">
        <v>0.019</v>
      </c>
    </row>
    <row r="13" ht="15.75" customHeight="1">
      <c r="A13" s="262">
        <v>43787.0</v>
      </c>
      <c r="B13" s="19">
        <v>0.2283</v>
      </c>
      <c r="C13" s="23">
        <v>0.894</v>
      </c>
      <c r="D13" s="19">
        <v>0.1505</v>
      </c>
      <c r="E13" s="23">
        <v>0.43</v>
      </c>
      <c r="F13" s="23">
        <v>34.57</v>
      </c>
      <c r="G13" s="23">
        <v>8.13</v>
      </c>
      <c r="H13" s="19">
        <v>0.0201</v>
      </c>
    </row>
    <row r="14" ht="15.75" customHeight="1">
      <c r="A14" s="262">
        <v>43850.0</v>
      </c>
      <c r="B14" s="19">
        <v>0.0313</v>
      </c>
      <c r="C14" s="23">
        <v>0.893</v>
      </c>
      <c r="D14" s="19">
        <v>0.1479</v>
      </c>
      <c r="E14" s="23">
        <v>0.501</v>
      </c>
      <c r="F14" s="23">
        <v>38.64</v>
      </c>
      <c r="G14" s="23">
        <v>8.5</v>
      </c>
      <c r="H14" s="19">
        <v>0.0195</v>
      </c>
    </row>
    <row r="15" ht="15.75" customHeight="1">
      <c r="A15" s="262">
        <v>43857.0</v>
      </c>
      <c r="B15" s="19">
        <v>0.0174</v>
      </c>
      <c r="C15" s="23">
        <v>0.893</v>
      </c>
      <c r="D15" s="19">
        <v>0.1478</v>
      </c>
      <c r="E15" s="23">
        <v>0.493</v>
      </c>
      <c r="F15" s="23">
        <v>37.82</v>
      </c>
      <c r="G15" s="23">
        <v>8.44</v>
      </c>
      <c r="H15" s="19">
        <v>0.0197</v>
      </c>
    </row>
    <row r="16" ht="15.75" customHeight="1">
      <c r="A16" s="262">
        <v>43864.0</v>
      </c>
      <c r="B16" s="19">
        <v>0.0025</v>
      </c>
      <c r="C16" s="23">
        <v>0.893</v>
      </c>
      <c r="D16" s="19">
        <v>0.1477</v>
      </c>
      <c r="E16" s="23">
        <v>0.479</v>
      </c>
      <c r="F16" s="23">
        <v>36.65</v>
      </c>
      <c r="G16" s="23">
        <v>8.19</v>
      </c>
      <c r="H16" s="19">
        <v>0.0201</v>
      </c>
    </row>
    <row r="17" ht="15.75" customHeight="1">
      <c r="A17" s="262">
        <v>43871.0</v>
      </c>
      <c r="B17" s="19">
        <v>0.0217</v>
      </c>
      <c r="C17" s="23">
        <v>0.897</v>
      </c>
      <c r="D17" s="19">
        <v>0.1477</v>
      </c>
      <c r="E17" s="23">
        <v>0.481</v>
      </c>
      <c r="F17" s="23">
        <v>36.65</v>
      </c>
      <c r="G17" s="23">
        <v>8.19</v>
      </c>
      <c r="H17" s="19">
        <v>0.0201</v>
      </c>
    </row>
    <row r="18" ht="15.75" customHeight="1">
      <c r="A18" s="262">
        <v>43878.0</v>
      </c>
      <c r="B18" s="19">
        <v>0.0337</v>
      </c>
      <c r="C18" s="23">
        <v>0.893</v>
      </c>
      <c r="D18" s="19">
        <v>0.1471</v>
      </c>
      <c r="E18" s="23">
        <v>0.482</v>
      </c>
      <c r="F18" s="23">
        <v>36.7</v>
      </c>
      <c r="G18" s="23">
        <v>8.2</v>
      </c>
      <c r="H18" s="19">
        <v>0.0198</v>
      </c>
    </row>
    <row r="19" ht="15.75" customHeight="1">
      <c r="A19" s="262">
        <v>43885.0</v>
      </c>
      <c r="B19" s="19">
        <v>0.0242</v>
      </c>
      <c r="C19" s="23">
        <v>0.89</v>
      </c>
      <c r="D19" s="19">
        <v>0.1469</v>
      </c>
      <c r="E19" s="23">
        <v>0.475</v>
      </c>
      <c r="F19" s="23">
        <v>36.67</v>
      </c>
      <c r="G19" s="23">
        <v>8.18</v>
      </c>
      <c r="H19" s="19">
        <v>0.0201</v>
      </c>
    </row>
    <row r="20" ht="15.75" customHeight="1">
      <c r="A20" s="262">
        <v>43892.0</v>
      </c>
      <c r="B20" s="19">
        <v>-0.0696</v>
      </c>
      <c r="C20" s="23">
        <v>0.904</v>
      </c>
      <c r="D20" s="19">
        <v>0.1197</v>
      </c>
      <c r="E20" s="23">
        <v>0.33</v>
      </c>
      <c r="F20" s="23">
        <v>26.3</v>
      </c>
      <c r="G20" s="23">
        <v>6.97</v>
      </c>
      <c r="H20" s="19">
        <v>0.0203</v>
      </c>
    </row>
    <row r="21" ht="15.75" customHeight="1">
      <c r="A21" s="262">
        <v>43899.0</v>
      </c>
      <c r="B21" s="19">
        <v>-0.0671</v>
      </c>
      <c r="C21" s="23">
        <v>0.906</v>
      </c>
      <c r="D21" s="19">
        <v>0.1246</v>
      </c>
      <c r="E21" s="23">
        <v>0.275</v>
      </c>
      <c r="F21" s="23">
        <v>28.14</v>
      </c>
      <c r="G21" s="23">
        <v>7.39</v>
      </c>
      <c r="H21" s="19">
        <v>0.0194</v>
      </c>
    </row>
    <row r="22" ht="15.75" customHeight="1">
      <c r="A22" s="262">
        <v>43913.0</v>
      </c>
      <c r="B22" s="19">
        <v>-0.2801</v>
      </c>
      <c r="C22" s="23">
        <v>0.909</v>
      </c>
      <c r="D22" s="19">
        <v>0.1591</v>
      </c>
      <c r="E22" s="23">
        <v>-0.245</v>
      </c>
      <c r="F22" s="23">
        <v>22.18</v>
      </c>
      <c r="G22" s="23">
        <v>5.67</v>
      </c>
      <c r="H22" s="19">
        <v>0.0255</v>
      </c>
    </row>
    <row r="23" ht="15.75" customHeight="1">
      <c r="A23" s="262">
        <v>43920.0</v>
      </c>
      <c r="B23" s="19">
        <v>-0.2037</v>
      </c>
      <c r="C23" s="23">
        <v>0.97</v>
      </c>
      <c r="D23" s="19">
        <v>0.1674</v>
      </c>
      <c r="E23" s="23">
        <v>-0.093</v>
      </c>
      <c r="F23" s="23">
        <v>24.63</v>
      </c>
      <c r="G23" s="23">
        <v>6.32</v>
      </c>
      <c r="H23" s="19">
        <v>0.0224</v>
      </c>
    </row>
    <row r="24" ht="15.75" customHeight="1">
      <c r="A24" s="262">
        <v>43927.0</v>
      </c>
      <c r="B24" s="19">
        <v>-0.2273</v>
      </c>
      <c r="C24" s="23">
        <v>0.964</v>
      </c>
      <c r="D24" s="19">
        <v>0.1689</v>
      </c>
      <c r="E24" s="23">
        <v>-0.134</v>
      </c>
      <c r="F24" s="23">
        <v>25.42</v>
      </c>
      <c r="G24" s="23">
        <v>6.53</v>
      </c>
      <c r="H24" s="19">
        <v>0.023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4"/>
  <printOptions/>
  <pageMargins bottom="0.75" footer="0.0" header="0.0" left="0.7" right="0.7" top="0.75"/>
  <pageSetup orientation="landscape"/>
  <drawing r:id="rId1"/>
</worksheet>
</file>